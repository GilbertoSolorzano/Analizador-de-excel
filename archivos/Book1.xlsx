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allegion-my.sharepoint.com/personal/c-gsolorzano_allegion_com/Documents/Documents/filtroIPLSemanal/Analizador-de-excel/"/>
    </mc:Choice>
  </mc:AlternateContent>
  <xr:revisionPtr revIDLastSave="20" documentId="8_{2D37A4A0-3660-4898-B30E-0F7075982F3E}" xr6:coauthVersionLast="47" xr6:coauthVersionMax="47" xr10:uidLastSave="{8BD087C9-7A15-441B-BE09-4B884D3469F1}"/>
  <bookViews>
    <workbookView xWindow="-24120" yWindow="-120" windowWidth="24240" windowHeight="13020" activeTab="2" xr2:uid="{DF052C6C-470E-4B23-BB9E-3E5A275280DD}"/>
  </bookViews>
  <sheets>
    <sheet name="Detail1" sheetId="3" r:id="rId1"/>
    <sheet name="Detail2" sheetId="4" r:id="rId2"/>
    <sheet name="Chart Res Mech" sheetId="1" r:id="rId3"/>
  </sheets>
  <externalReferences>
    <externalReference r:id="rId4"/>
  </externalReferences>
  <definedNames>
    <definedName name="orders">[1]Lines!$A$2:$B$22</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<sst xmlns="http://schemas.openxmlformats.org/spreadsheetml/2006/main" count="10246" uniqueCount="971">
  <si>
    <t>Factory</t>
  </si>
  <si>
    <t>(All)</t>
  </si>
  <si>
    <t>Row Labels</t>
  </si>
  <si>
    <t>Count of Case Number</t>
  </si>
  <si>
    <t>Sum of Quantity</t>
  </si>
  <si>
    <t>F Handleset</t>
  </si>
  <si>
    <t>Allegion Shipped Incorrect Amount</t>
  </si>
  <si>
    <t>HOME DEPOT</t>
  </si>
  <si>
    <t>F Knob/Lever</t>
  </si>
  <si>
    <t>Shortage</t>
  </si>
  <si>
    <t>3-G TRIM INC</t>
  </si>
  <si>
    <t>B</t>
  </si>
  <si>
    <t>Overage</t>
  </si>
  <si>
    <t>ORGILL INC - B1</t>
  </si>
  <si>
    <t>Multiple</t>
  </si>
  <si>
    <t>Customer Forgot or Incorrect Quote #</t>
  </si>
  <si>
    <t>Quote / Product Error</t>
  </si>
  <si>
    <t>FERGUSON ENTERPRISES INC (FULFILLMENT)</t>
  </si>
  <si>
    <t>FC</t>
  </si>
  <si>
    <t>Customer Forgot to Add Quote</t>
  </si>
  <si>
    <t>Broken Package</t>
  </si>
  <si>
    <t>LOWES COMPANIES INC - EDI ACCOUNT</t>
  </si>
  <si>
    <t>Grand Total</t>
  </si>
  <si>
    <t>Customer Provided Incorrect Quote #</t>
  </si>
  <si>
    <t>Quote Error</t>
  </si>
  <si>
    <t>TOP NOTCH DISTRIBUTORS</t>
  </si>
  <si>
    <t>Allegion Sent Missing Product / Part</t>
  </si>
  <si>
    <t>Functional Mechanical</t>
  </si>
  <si>
    <t>BUILDERS SUPPLY CO INC</t>
  </si>
  <si>
    <t>Missing Part / Component</t>
  </si>
  <si>
    <t>Broken / Bad Parts</t>
  </si>
  <si>
    <t>BANNER SOLUTIONS</t>
  </si>
  <si>
    <t>Missing Product</t>
  </si>
  <si>
    <t>Cannot lock / Unlock</t>
  </si>
  <si>
    <t>ACE HARDWARE CORP - A1 - EDI only</t>
  </si>
  <si>
    <t>Installation / Removal / Prep</t>
  </si>
  <si>
    <t>BANNER SOLUTIONS - EDI</t>
  </si>
  <si>
    <t>ANDERSON LOCK CO</t>
  </si>
  <si>
    <t>LUMBERMENS MERCHANDISING CORP</t>
  </si>
  <si>
    <t>Allegion Sent Incorrect Product / Part</t>
  </si>
  <si>
    <t>Precision Doors &amp; Hardaware</t>
  </si>
  <si>
    <t>Incorrect Part / Component</t>
  </si>
  <si>
    <t>D &amp; M INDUSTRIES</t>
  </si>
  <si>
    <t>Incorrect Product</t>
  </si>
  <si>
    <t>LUMBERMENS INC</t>
  </si>
  <si>
    <t>Spec / Plan / Job Change</t>
  </si>
  <si>
    <t>B &amp; K DISTRIBUTORS</t>
  </si>
  <si>
    <t>Allegion Entered Incorrect Product</t>
  </si>
  <si>
    <t>Haskell's Hardware</t>
  </si>
  <si>
    <t>Damaged in Transit</t>
  </si>
  <si>
    <t>IRVINE COMPANY APARTMENT COMMUNITIES (MAIN)</t>
  </si>
  <si>
    <t>Appearance / Finish</t>
  </si>
  <si>
    <t>D H PACE COMPANY - DBA PASEK SECURITY</t>
  </si>
  <si>
    <t/>
  </si>
  <si>
    <t>Dented / Scratches</t>
  </si>
  <si>
    <t>WAUSAU SUPPLY COMPANY</t>
  </si>
  <si>
    <t>Color Mismatch</t>
  </si>
  <si>
    <t>ALLEGION (THAILAND) LIMITED (HEAD OFFICE)</t>
  </si>
  <si>
    <t>Worn</t>
  </si>
  <si>
    <t>Ryan McLellan</t>
  </si>
  <si>
    <t>Peeling</t>
  </si>
  <si>
    <t>ALLEGION - SCHLAGE LOCK CO</t>
  </si>
  <si>
    <t>#VALUE!</t>
  </si>
  <si>
    <t>Katie ellis</t>
  </si>
  <si>
    <t>Pricebook / ERP Mismatch</t>
  </si>
  <si>
    <t>Lost in Transit - Carrier</t>
  </si>
  <si>
    <t>ORGILL INC - A1</t>
  </si>
  <si>
    <t>Pricebook Error</t>
  </si>
  <si>
    <t>Kendrick Louie</t>
  </si>
  <si>
    <t>System Did Not Apply Correct Pricing</t>
  </si>
  <si>
    <t>Wrong Address - Carrier</t>
  </si>
  <si>
    <t>PACIFIC BUILDERS HARDWARE &amp; LIGHTING INC</t>
  </si>
  <si>
    <t>Customer Ordered Incorrect Product</t>
  </si>
  <si>
    <t>AMAZON.COM SERVICES INC</t>
  </si>
  <si>
    <t>Eric Olheiser</t>
  </si>
  <si>
    <t>FERGUSON ENTERPRISES INC - HQ</t>
  </si>
  <si>
    <t>GENERAL HARDWARE &amp; BUILDERS SUPPLY</t>
  </si>
  <si>
    <t>Incorrect Shipping &amp; Handling</t>
  </si>
  <si>
    <t>RULE4 LLC</t>
  </si>
  <si>
    <t>Distrib / Factory - Incorrect Freight Charge</t>
  </si>
  <si>
    <t>NEWCO DEALERS WHOLESALE - DBA DEALERS WHOLESALE</t>
  </si>
  <si>
    <t>Lyle Peacock</t>
  </si>
  <si>
    <t>ALLEGION - RSO SOUTHERN CALIFORNIA</t>
  </si>
  <si>
    <t>DO IT BEST STORE # 0071</t>
  </si>
  <si>
    <t>SPOKANE HARDWARE SUPPLY INC</t>
  </si>
  <si>
    <t>Sergio Chinchilla</t>
  </si>
  <si>
    <t>Arch Door LLC</t>
  </si>
  <si>
    <t>Mid-Am Holdings LLC</t>
  </si>
  <si>
    <t>84 LUMBER COMPANY</t>
  </si>
  <si>
    <t>ALLEGION - CANADA INC</t>
  </si>
  <si>
    <t>ACE HARDWARE CORP - D1</t>
  </si>
  <si>
    <t>Allegion Missed Line</t>
  </si>
  <si>
    <t>ELAINE EVERETTS LIGHTING LLC</t>
  </si>
  <si>
    <t>Allegion Missed Line - Shipping</t>
  </si>
  <si>
    <t>Allegion Canada EDI Only</t>
  </si>
  <si>
    <t>Allegion Entered Incorrect Amount</t>
  </si>
  <si>
    <t>AMERICAN BUILDING SUPPLY</t>
  </si>
  <si>
    <t>HMH Finishes LLC</t>
  </si>
  <si>
    <t>Functional Electronic</t>
  </si>
  <si>
    <t>AMERICAN OPENINGS INC</t>
  </si>
  <si>
    <t>BEP LYMAN LLC</t>
  </si>
  <si>
    <t>Insufficient Packaging</t>
  </si>
  <si>
    <t>MAZIUK &amp; CO INC</t>
  </si>
  <si>
    <t>Builders First Source Inc - dba BFS Operations LLC</t>
  </si>
  <si>
    <t>Lead Time / Availability</t>
  </si>
  <si>
    <t>MORGAN DEVELOPMENT &amp; SUPPLY</t>
  </si>
  <si>
    <t>JESKE COMPANY INC</t>
  </si>
  <si>
    <t>NEXT LEVEL DOOR &amp; MILLWORK - REDLANDS</t>
  </si>
  <si>
    <t>Jeske Company Inc - EDI Account</t>
  </si>
  <si>
    <t>DO IT BEST CORP - 6426 A1</t>
  </si>
  <si>
    <t>Jim Schumacher</t>
  </si>
  <si>
    <t>Patterson Palm</t>
  </si>
  <si>
    <t xml:space="preserve">Allegion New Zealand </t>
  </si>
  <si>
    <t>RIO GRANDE CO</t>
  </si>
  <si>
    <t>Chelsea Stone</t>
  </si>
  <si>
    <t>Ryan Canham</t>
  </si>
  <si>
    <t>LAFORCE LLC</t>
  </si>
  <si>
    <t>SCHILLING BROTHERS LUMBER</t>
  </si>
  <si>
    <t>COOK &amp; BOARDMAN - DBA CONTRACT HARDWARE OF FLORIDA</t>
  </si>
  <si>
    <t>SPECIALTY DOOR CO</t>
  </si>
  <si>
    <t>COOK &amp; BOARDMAN LLC</t>
  </si>
  <si>
    <t>Amanda Alley</t>
  </si>
  <si>
    <t>UNIFIED DOOR AND HARDWARE GROUP - DBA COMMERCIAL HARDWARE OF MARYLAND</t>
  </si>
  <si>
    <t>GOLICH BUILDING SUPPLY INC</t>
  </si>
  <si>
    <t>YOUNGER BROTHERS DOOR &amp; TRIM</t>
  </si>
  <si>
    <t>GR MITCHELL INC</t>
  </si>
  <si>
    <t>HARDWARE TRENDS HAWAII INC</t>
  </si>
  <si>
    <t>Created On</t>
  </si>
  <si>
    <t>Case Number</t>
  </si>
  <si>
    <t>Case Type</t>
  </si>
  <si>
    <t>Interaction Type</t>
  </si>
  <si>
    <t>Interaction Subtype</t>
  </si>
  <si>
    <t>Legacy Interaction Type</t>
  </si>
  <si>
    <t>OOB or Reliability?</t>
  </si>
  <si>
    <t>Brand</t>
  </si>
  <si>
    <t>Category</t>
  </si>
  <si>
    <t>Series</t>
  </si>
  <si>
    <t>Description</t>
  </si>
  <si>
    <t>Customer</t>
  </si>
  <si>
    <t>Original Order #</t>
  </si>
  <si>
    <t>PO #</t>
  </si>
  <si>
    <t>Invoice #</t>
  </si>
  <si>
    <t>Line Number</t>
  </si>
  <si>
    <t>Brand2</t>
  </si>
  <si>
    <t>Category3</t>
  </si>
  <si>
    <t>Series4</t>
  </si>
  <si>
    <t>Factory5</t>
  </si>
  <si>
    <t>Quantity</t>
  </si>
  <si>
    <t>Reason</t>
  </si>
  <si>
    <t>Detail Reason</t>
  </si>
  <si>
    <t>Subdetail Reason</t>
  </si>
  <si>
    <t>Point of Failure</t>
  </si>
  <si>
    <t>Accountability</t>
  </si>
  <si>
    <t>Part #</t>
  </si>
  <si>
    <t>Component</t>
  </si>
  <si>
    <t>Subcomponent</t>
  </si>
  <si>
    <t>Manufacture Date</t>
  </si>
  <si>
    <t>Ship Date</t>
  </si>
  <si>
    <t>Installation Date</t>
  </si>
  <si>
    <t># of Lines Affected</t>
  </si>
  <si>
    <t>Transaction Type</t>
  </si>
  <si>
    <t>Status</t>
  </si>
  <si>
    <t>Created By</t>
  </si>
  <si>
    <t>Owner</t>
  </si>
  <si>
    <t>Functional Group</t>
  </si>
  <si>
    <t>Brand / Category</t>
  </si>
  <si>
    <t>Reason (English)</t>
  </si>
  <si>
    <t>Detail Reason (English)</t>
  </si>
  <si>
    <t>Subdetail Reason (English)</t>
  </si>
  <si>
    <t>Open Month</t>
  </si>
  <si>
    <t>Interaction Type (English)</t>
  </si>
  <si>
    <t>Parent Accountability</t>
  </si>
  <si>
    <t>CAS6415042</t>
  </si>
  <si>
    <t>Issue</t>
  </si>
  <si>
    <t>Return / Replace / Scrap</t>
  </si>
  <si>
    <t>Schlage Residential</t>
  </si>
  <si>
    <t>Lock</t>
  </si>
  <si>
    <t>Olathe</t>
  </si>
  <si>
    <t>CONCEALED SHORTAGE:
LOWES REF#  AD835334
CREDIT BALANCE : $1037.68
CARRER:   SAIA</t>
  </si>
  <si>
    <t>SO03192375</t>
  </si>
  <si>
    <t>300899805</t>
  </si>
  <si>
    <t>45611542</t>
  </si>
  <si>
    <t>0641033~Allegion Shipped Incorrect Amount|1040~(Allegion) Spedito Valore/Q.tà Errato|3082~Allegion envió una cantidad incorrecta|1036~Allegion a expédié un montant incorrect</t>
  </si>
  <si>
    <t>3251033~Shortage|1040~Mancanza|1055~Eksiklik|3082~Escaso|1036~Rupture</t>
  </si>
  <si>
    <t>Shipping</t>
  </si>
  <si>
    <t>Credit Request</t>
  </si>
  <si>
    <t>Resolved</t>
  </si>
  <si>
    <t>Vicki Y Pleak</t>
  </si>
  <si>
    <t>Commercial</t>
  </si>
  <si>
    <t>Schlage Residential Mechanical</t>
  </si>
  <si>
    <t>2026 / 02</t>
  </si>
  <si>
    <t>Product</t>
  </si>
  <si>
    <t>CAS6415073</t>
  </si>
  <si>
    <t>CONCEALED SHORTAGE:
LOWES REF#  AD833071
CREDIT BALANCE : $358.00
CARRER:   SAIA</t>
  </si>
  <si>
    <t>SO03192374</t>
  </si>
  <si>
    <t>300899804</t>
  </si>
  <si>
    <t>45613783</t>
  </si>
  <si>
    <t>CAS6430558</t>
  </si>
  <si>
    <t>Credit / Debit Request</t>
  </si>
  <si>
    <t>Pricing Adjustment</t>
  </si>
  <si>
    <t>Ensenada</t>
  </si>
  <si>
    <t>QUOTE 1532971 NEEDED TO BE APPLIED, ORDER WAS INVOICED BEFORE PRICE CHANGE COULD BE MADE
LINE 1-QTY 8--LOCK.F58.CEN.622.134.KA4.C.48-180.2--NEW PRICE $45.78 EACH                             (($0.68 DIFFERENCE EACH))
LINE 2-QTY 8--LOCK.F59.LAT.622.12-322.10-115.134--NEW PRICE $22.93 EACH                               (($4.60 DIFFERENCE EACH))
LINE 3-QTY 120--LOCK.B60.N.619.12-321.10-116.134.KA4.C.48-180.2--NEW PRICE $14.18 EACH     (($1.55 DIFFERENCE EACH))
LINE 4-QTY 200--LOCK.B60.N.622.12-321.10-116.134.KA4.C.48-180.2--NEW PRICE $14.18 EACH     (($1.55 DIFFERENCE EACH))
LINE 5-QTY 80--LOCK.F10.LAT.622.16-080.10-027.134--NEW PRICE $12.42 EACH                             (($2.08 DIFFERENCE EACH))
LINE 6-QTY 8--LOCK.F10.LAT.622.COL..16-080.10-027.134--NEW PRICE $17.67 EACH                       (($0.76 DIFFERENCE EACH))
LINE 7-QTY 5--LOCK.F170.LAT.622.134--NEW PRICE $5.29 EACH                                                       (($2.08 DIFFERENCE EACH))
------------------
CUSTOMER REQUESTING QUOTE CHANGE ON PO 82554
OLD QUOTE--1601940
NEW QUOTE TO APPLY--1532971
******************
DENIED--FACTORY NOTED THAT ORDER HAS BEEN SHIPPED SO QUOTE CANNOT BE CHANGED--1/27/26
----------
PO IN QUESTION--82554--USING QUOTE 1601940
CUSTOMER WANTING TO COMPARE PRICING TO POs 82281 &amp; 82187--THEY HAVE QUOTE 1532971
******
Would you please double-check the pricing on this order? There are several line items priced higher than what we have previously paid. For example, line two should be $22.93, consistent with the pricing on PO 82281 and PO 82187.
I understand there is a price increase scheduled to take effect in February; however, that increase should not apply to this quote. Please reach back out with an updated acknowledgement or clarification on the increase. Thanks.</t>
  </si>
  <si>
    <t>14254543</t>
  </si>
  <si>
    <t>82554</t>
  </si>
  <si>
    <t>8144276</t>
  </si>
  <si>
    <t>0131033~Customer Forgot or Incorrect Quote #|1040~(Cliente) Rif.Offerta Errata o Non Inserita|3082~Cliente oferta incorrecta o no adjunta|1036~Le client a oublié ou s'est trompé de numéro de devis</t>
  </si>
  <si>
    <t>0421033~Customer Provided Incorrect Quote #|1040~(Cliente) Fornito N. offerta errato|3082~Cliente proporciono nº de oferta erróneo|1036~N° devis fourni par le client incorrect</t>
  </si>
  <si>
    <t>Jessica Cook</t>
  </si>
  <si>
    <t>Residential - Channel</t>
  </si>
  <si>
    <t>CAS6412962</t>
  </si>
  <si>
    <t>Defective Product</t>
  </si>
  <si>
    <t>Out of Box</t>
  </si>
  <si>
    <t>NC RPL- ARRIVED DAMAGED/SCRATCHED
LINE 14 - 194555204539 SCH LOCK.F94.SAC.716.CAM..LH.134 QTY 1
SHIP TO: 870009
80 4TH STREET
HONESDALE, PA 18431
-------------------------------------------------------------------------------------------------------
Good Afternoon,
We received item F94SAC716CAMLH damaged with scratches on the lever. May we please have a no charge replacement sent out?</t>
  </si>
  <si>
    <t>14251451</t>
  </si>
  <si>
    <t>5297250</t>
  </si>
  <si>
    <t>8138587</t>
  </si>
  <si>
    <t>0071033~Appearance / Finish|1040~Estetica / Finitura|3082~Estética / Acabado|1036~Apparence/Finition</t>
  </si>
  <si>
    <t>0491033~Dented / Scratches|1040~Ammaccato/graffiato|3082~Abollado/rayado|1036~Bosselé / rayé</t>
  </si>
  <si>
    <t>194555204539</t>
  </si>
  <si>
    <t>F94</t>
  </si>
  <si>
    <t>Replace Only</t>
  </si>
  <si>
    <t>Erika Harris</t>
  </si>
  <si>
    <t>CAS6415114</t>
  </si>
  <si>
    <t>CONCEALED SHORTAGE:
LOWES REF#  AD833072
CREDIT BALANCE : $1896.62
CARRER:   SAIA</t>
  </si>
  <si>
    <t>SO03193963</t>
  </si>
  <si>
    <t>300972188</t>
  </si>
  <si>
    <t>45613794</t>
  </si>
  <si>
    <t>CAS6415175</t>
  </si>
  <si>
    <t>CREDIT FOR CONCEALED SHORTAGE
CREDIT OPEN BALANCE : $1443.85
IFC SHIPMENT
CARRIER : KNIGHT - NO DR FROM CARRIER</t>
  </si>
  <si>
    <t>SO03172450</t>
  </si>
  <si>
    <t>1076237375</t>
  </si>
  <si>
    <t>45586429</t>
  </si>
  <si>
    <t>CAS6415219</t>
  </si>
  <si>
    <t>CREDIT FOR CONCEALED SHORTAGE
CREDIT OPEN BALANCE : $427.66
IFC SHIPMENT
CARRIER : USA</t>
  </si>
  <si>
    <t>SO03177484</t>
  </si>
  <si>
    <t>1077634625</t>
  </si>
  <si>
    <t>45592140</t>
  </si>
  <si>
    <t>CAS6415253</t>
  </si>
  <si>
    <t>CREDIT FOR CONCEALED SHORTAGE
CREDIT OPEN BALANCE : $352.31
IFC SHIPMENT
CARRIER : USA</t>
  </si>
  <si>
    <t>SO03180647</t>
  </si>
  <si>
    <t>1078353820</t>
  </si>
  <si>
    <t>45595589</t>
  </si>
  <si>
    <t>CAS6415288</t>
  </si>
  <si>
    <t>CREDIT FOR CONCEALED SHORTAGE
CREDIT OPEN BALANCE : $1107.54
IFC SHIPMENT
CARRIER : USA</t>
  </si>
  <si>
    <t>SO03182404</t>
  </si>
  <si>
    <t>1078996912</t>
  </si>
  <si>
    <t>45595672</t>
  </si>
  <si>
    <t>CAS6415319</t>
  </si>
  <si>
    <t>CREDIT FOR CONCEALED SHORTAGE
CREDIT OPEN BALANCE : $437.83
IFC SHIPMENT
CARRIER : USA</t>
  </si>
  <si>
    <t>SO03182430</t>
  </si>
  <si>
    <t>1078997642</t>
  </si>
  <si>
    <t>45596988</t>
  </si>
  <si>
    <t>CAS6415346</t>
  </si>
  <si>
    <t>CREDIT FOR CONCEALED SHORTAGE
CREDIT OPEN BALANCE : $411.48
IFC SHIPMENT
CARRIER : USA</t>
  </si>
  <si>
    <t>SO03182439</t>
  </si>
  <si>
    <t>1078997622</t>
  </si>
  <si>
    <t>45596990</t>
  </si>
  <si>
    <t>CAS6415371</t>
  </si>
  <si>
    <t>CREDIT FOR CONCEALED SHORTAGE
CREDIT OPEN BALANCE : $489.54
IFC SHIPMENT
CARRIER : USA</t>
  </si>
  <si>
    <t>SO03182630</t>
  </si>
  <si>
    <t>1078996971</t>
  </si>
  <si>
    <t>45597486</t>
  </si>
  <si>
    <t>CAS6415394</t>
  </si>
  <si>
    <t>CREDIT FOR CONCEALED SHORTAGE
CREDIT OPEN BALANCE : $460.28
IFC SHIPMENT
CARRIER : USA</t>
  </si>
  <si>
    <t>SO03184146</t>
  </si>
  <si>
    <t>1079340988</t>
  </si>
  <si>
    <t>45600200</t>
  </si>
  <si>
    <t>CAS6415429</t>
  </si>
  <si>
    <t>CREDIT FOR CONCEALED SHORTAGE
CREDIT OPEN BALANCE : $209.67
IFC SHIPMENT
CARRIER : USA</t>
  </si>
  <si>
    <t>SO03185989</t>
  </si>
  <si>
    <t>1079691632</t>
  </si>
  <si>
    <t>45604252</t>
  </si>
  <si>
    <t>CAS6441839</t>
  </si>
  <si>
    <t>SHORT SHIP OCQ523297823/22 BOL DOCS RECEIVED BUT ACE DENIED REPAYMENT IN THE AMOUNT $232.11.
 ACE SHORT SHIP ON INV 8054630.  CREDIT AMOUNT $232.11
DEDUCTION TAKEN ON DM# 490677 $232.11.</t>
  </si>
  <si>
    <t>14189845</t>
  </si>
  <si>
    <t>TW4WU</t>
  </si>
  <si>
    <t>8054630</t>
  </si>
  <si>
    <t>0351033~Customer Forgot to Add Quote|1040~(Cliente) Dimenticato di aggiungere.Offerta|3082~El cliente olvidó añadir oferta|1036~le client a oublié d'ajouter le N° du devis</t>
  </si>
  <si>
    <t>Pamela Franklin</t>
  </si>
  <si>
    <t>CAS6441793</t>
  </si>
  <si>
    <t>SHORT SHIP OCQ0527191685/16 BOL DOCS RECEIVED BUT ACE DENIED REPAYMENT IN THE AMOUNT $554.64
 ACE SHORT SHIP ON INV 8078891.  CREDIT AMOUNT $554.64
DEDUCTION TAKEN ON DM# 490468 $554.64.</t>
  </si>
  <si>
    <t>14182072</t>
  </si>
  <si>
    <t>S7VKU</t>
  </si>
  <si>
    <t>8078891</t>
  </si>
  <si>
    <t>CAS6415454</t>
  </si>
  <si>
    <t>CREDIT FOR CONCEALED SHORTAGE
CREDIT OPEN BALANCE : $895.12
IFC SHIPMENT
CARRIER : USA</t>
  </si>
  <si>
    <t>SO03180544</t>
  </si>
  <si>
    <t>1078354240</t>
  </si>
  <si>
    <t>45595551</t>
  </si>
  <si>
    <t>CAS6415489</t>
  </si>
  <si>
    <t>CREDIT FOR CONCEALED SHORTAGE
CREDIT OPEN BALANCE : $384.29
IFC SHIPMENT
CARRIER : USA</t>
  </si>
  <si>
    <t>SO03182399</t>
  </si>
  <si>
    <t>1078996069</t>
  </si>
  <si>
    <t>45596935</t>
  </si>
  <si>
    <t>CAS6442709</t>
  </si>
  <si>
    <t>CREDIT FOR CONCEALED SHORTAGE
CREDIT OPEN BALANCE : $613.10
IFC SHIPMENT
CARRIER : USA</t>
  </si>
  <si>
    <t>SO03216151</t>
  </si>
  <si>
    <t>1087990373</t>
  </si>
  <si>
    <t>45639032</t>
  </si>
  <si>
    <t>CAS6442662</t>
  </si>
  <si>
    <t>CREDIT FOR CONCEALED SHORTAGE
CREDIT OPEN BALANCE : $342.53
IFC SHIPMENT
CARRIER : USA</t>
  </si>
  <si>
    <t>SO0319379</t>
  </si>
  <si>
    <t>1081848823</t>
  </si>
  <si>
    <t>45612095</t>
  </si>
  <si>
    <t>CAS6442623</t>
  </si>
  <si>
    <t>CREDIT FOR CONCEALED SHORTAGE
CREDIT OPEN BALANCE : $231.82
IFC SHIPMENT
CARRIER : USA</t>
  </si>
  <si>
    <t>SO03192363</t>
  </si>
  <si>
    <t>1081491807</t>
  </si>
  <si>
    <t>45610336</t>
  </si>
  <si>
    <t>CAS6442589</t>
  </si>
  <si>
    <t>CREDIT FOR CONCEALED SHORTAGE
CREDIT OPEN BALANCE : $526.57
IFC SHIPMENT
CARRIER : USA</t>
  </si>
  <si>
    <t>SO03185931</t>
  </si>
  <si>
    <t>1079678085</t>
  </si>
  <si>
    <t>45613716</t>
  </si>
  <si>
    <t>CAS6442555</t>
  </si>
  <si>
    <t>CREDIT FOR CONCEALED SHORTAGE
CREDIT OPEN BALANCE : $730.38
IFC SHIPMENT
CARRIER : USA</t>
  </si>
  <si>
    <t>SO03196157</t>
  </si>
  <si>
    <t>1082664352</t>
  </si>
  <si>
    <t>45613811</t>
  </si>
  <si>
    <t>CAS6442516</t>
  </si>
  <si>
    <t>CREDIT FOR CONCEALED SHORTAGE
CREDIT OPEN BALANCE : $219.29
IFC SHIPMENT
CARRIER : USA</t>
  </si>
  <si>
    <t>SO03196178</t>
  </si>
  <si>
    <t>1082658137</t>
  </si>
  <si>
    <t>45613821</t>
  </si>
  <si>
    <t>CAS6433891</t>
  </si>
  <si>
    <t>Incorrect/Missing Product</t>
  </si>
  <si>
    <t>NC RPL- ITEMS NOT RECEIVED 
LINE 30- LOCK.F59.FLA.716.LH.12-322.10-115.134 QTY 4
LINE 44- LOCK.F59.LAT.622.12-322.10-257.134 QTY 5
SHIP TO: 2902
2902 MAYFIELD RD STE 100
GRAND PRAIRIE, TX 75052
--------------------------------------------------------------------------------------------------------------------------------------
Selected primary Product Type: Accessories
Do you also need to update the Ship To Address on your order?: No
The original ship-to address is saved on the shipping tab.
Email: ashley.grant@bannersolutions.com
Phone Number: 8883620750
Preferred Contact Method: Email</t>
  </si>
  <si>
    <t>14254460</t>
  </si>
  <si>
    <t>6377154</t>
  </si>
  <si>
    <t>8151618</t>
  </si>
  <si>
    <t>0213082~Allegion no envió un producto/pieza|1040~(Alle) Spedito Articolo/Componente mancante|1036~Allegion a envoyé un produit ou une pièce manquante|1033~Allegion Sent Missing Product / Part</t>
  </si>
  <si>
    <t>9741040~Prodotto Mancante|1033~Missing Product|1036~Produit manquant</t>
  </si>
  <si>
    <t>043156631490</t>
  </si>
  <si>
    <t>Portal Cases</t>
  </si>
  <si>
    <t>043156228669</t>
  </si>
  <si>
    <t>CAS6427754</t>
  </si>
  <si>
    <t>CUST RCVD THE INCORRECT PRODUCT - OE ERROR
REQ LOCK.F170.ACC.619.RH.134 
RCVD LOCK.F170.ACC.619.LH.134
14 BOXES - 224LBS</t>
  </si>
  <si>
    <t>14264986</t>
  </si>
  <si>
    <t>0010517</t>
  </si>
  <si>
    <t>8160347</t>
  </si>
  <si>
    <t>0621033~Allegion Entered Incorrect Product|1040~(Allegion) Inserito Prodotto Errato|3082~Allegion introdujo producto incorrecto|1036~Allegion a saisi un produit incorrect</t>
  </si>
  <si>
    <t>0041033~Allegion Entered Incorrect Product|1040~(Allegion) Inserito Prodotto Errato|3082~(Allegion) Introducido Producto Erróneo|1036~Allegion a saisi un produit incorrect</t>
  </si>
  <si>
    <t>Order Management</t>
  </si>
  <si>
    <t>F170</t>
  </si>
  <si>
    <t>Return and Replace</t>
  </si>
  <si>
    <t>Active</t>
  </si>
  <si>
    <t>Bionica Brown</t>
  </si>
  <si>
    <t>Customer Care</t>
  </si>
  <si>
    <t>CAS6415508</t>
  </si>
  <si>
    <t>CREDIT FOR CONCEALED SHORTAGE
CREDIT OPEN BALANCE : $262.30
IFC SHIPMENT
CARRIER : USA</t>
  </si>
  <si>
    <t>SO03186022</t>
  </si>
  <si>
    <t>1079691985</t>
  </si>
  <si>
    <t>45604259</t>
  </si>
  <si>
    <t>CAS6415532</t>
  </si>
  <si>
    <t>CREDIT FOR CONCEALED SHORTAGE
CREDIT OPEN BALANCE : $220.61
IFC SHIPMENT
CARRIER : USA</t>
  </si>
  <si>
    <t>SO03182405</t>
  </si>
  <si>
    <t>1078995913</t>
  </si>
  <si>
    <t>45596965</t>
  </si>
  <si>
    <t>CAS6415550</t>
  </si>
  <si>
    <t>CREDIT FOR CONCEALED SHORTAGE
CREDIT OPEN BALANCE : $665.28
IFC SHIPMENT
CARRIER : USA</t>
  </si>
  <si>
    <t>SO03184174</t>
  </si>
  <si>
    <t>1079349011</t>
  </si>
  <si>
    <t>45600218</t>
  </si>
  <si>
    <t>CAS6415572</t>
  </si>
  <si>
    <t>CREDIT FOR CONCEALED SHORTAGE
CREDIT OPEN BALANCE : $873.01
IFC SHIPMENT
CARRIER : USA</t>
  </si>
  <si>
    <t>SO03186026</t>
  </si>
  <si>
    <t>1079692170</t>
  </si>
  <si>
    <t>45604291</t>
  </si>
  <si>
    <t>CAS6415595</t>
  </si>
  <si>
    <t>SO03188912</t>
  </si>
  <si>
    <t>1080396340</t>
  </si>
  <si>
    <t>45605458</t>
  </si>
  <si>
    <t>CAS6417940</t>
  </si>
  <si>
    <t>REPLACEMENT FOR INCORRECT ROSE ON PO 29079
CHARGED REPLACEMENT--
LINE 6-QTY 28--LOCK.F10.LAT.622.619.16-080.10-027.134 ((CUSTOMER REQUESTED SQUARE ROSE, NEEDS COLLINS ROSE))
RMA/RETURN--
line 6-qty 28--LOCK.F10.LAT.622.619.16-080.10-027.134</t>
  </si>
  <si>
    <t>14249110</t>
  </si>
  <si>
    <t>29079</t>
  </si>
  <si>
    <t>8148306</t>
  </si>
  <si>
    <t>0281033~Allegion Sent Incorrect Product / Part</t>
  </si>
  <si>
    <t>9731033~Incorrect Part / Component|1036~Composant/pièce incorrect|1040~Componente errato</t>
  </si>
  <si>
    <t>043156499564</t>
  </si>
  <si>
    <t>CAS6412806</t>
  </si>
  <si>
    <t>CREDIT FOR CONCEALED SHORTAGE
CREDIT OPEN BALANCE $264.01
PRODUCT AUTHORITY SHIPMENT
CARRIER : SAIA</t>
  </si>
  <si>
    <t>14214229</t>
  </si>
  <si>
    <t>1077583042</t>
  </si>
  <si>
    <t>8079450</t>
  </si>
  <si>
    <t>CAS6408565</t>
  </si>
  <si>
    <t>PO 729022--SHORT SHIP-MISSING (8) LOCK.F10.MER.716.16-080.10-027.134
LINE 3-QTY 8
--------------
Good afternoon,
On our PO# 729022,  Item# F10 MER 716, we are short 8 ea.  It looks like UPS lost tracking # 1Z9W01V603 16152817.
Please reship 8 ea F10 MER 716.
Thank you</t>
  </si>
  <si>
    <t>14252589</t>
  </si>
  <si>
    <t>729022</t>
  </si>
  <si>
    <t>8138502</t>
  </si>
  <si>
    <t>043156225040</t>
  </si>
  <si>
    <t>CAS6424341</t>
  </si>
  <si>
    <t>Reliability</t>
  </si>
  <si>
    <t>PER COREY SCHAB--
"WARRANTY REPLACEMENT FOR IRVINE APARTMENT COMMUNITIES. PLEASE EXPEDITE SHIPPING"
PO AG8122024
LINE 1-QTY 60--LOCK.F40.ACC.619.16-080.10-027.134 RH ((PUSH BUTTON NOT WORKING))
LINE 3-QTY 60--LOCK.B60.N.716.619.12-321.10-116.134.KA4.C.48-180.2 ((FINISH NOT HOLDING UP))
SHIP TO:
IRVINE CO/ SAN CARLO VILLA
15 MURICA AISLE
IRVINE, CA 92614</t>
  </si>
  <si>
    <t>13906407</t>
  </si>
  <si>
    <t>AG8122024</t>
  </si>
  <si>
    <t>7584348</t>
  </si>
  <si>
    <t>0311033~Functional Mechanical|1040~Funzionamento Meccanico|3082~Función mecánica|1036~Functional Mechanical</t>
  </si>
  <si>
    <t>0201033~Cannot lock / Unlock|1040~Impossibile bloccare / sbloccare|3082~No se puede bloquear/desbloquear|1036~Impossible de verrouiller / Déverrouiller</t>
  </si>
  <si>
    <t>043156794690</t>
  </si>
  <si>
    <t>F58</t>
  </si>
  <si>
    <t>4351033~Peeling|1036~Décollement|1040~Sfogliato|3082~Desconcharse|1055~Kabuğunu Soymak</t>
  </si>
  <si>
    <t>043156264926</t>
  </si>
  <si>
    <t>B60</t>
  </si>
  <si>
    <t>CAS6440276</t>
  </si>
  <si>
    <t>CREDIT FOR CONCEALED SHORTAGE
CREDIT OPEN BALANCE : $264.07
IFC SHIPMENT
CARRIER : USA</t>
  </si>
  <si>
    <t>SO03193968</t>
  </si>
  <si>
    <t>1081843060</t>
  </si>
  <si>
    <t>45611605</t>
  </si>
  <si>
    <t>CAS6440306</t>
  </si>
  <si>
    <t>CREDIT FOR CONCEALED SHORTAGE
CREDIT OPEN BALANCE : $623.22
IFC SHIPMENT
CARRIER : ESTES</t>
  </si>
  <si>
    <t>SO03193974</t>
  </si>
  <si>
    <t>1081843814</t>
  </si>
  <si>
    <t>45611835</t>
  </si>
  <si>
    <t>CAS6440332</t>
  </si>
  <si>
    <t>CREDIT FOR CONCEALED SHORTAGE
CREDIT OPEN BALANCE : $318.34
IFC SHIPMENT
CARRIER : USA</t>
  </si>
  <si>
    <t>SO03194001</t>
  </si>
  <si>
    <t>1081848830</t>
  </si>
  <si>
    <t>45612329</t>
  </si>
  <si>
    <t>CAS6440353</t>
  </si>
  <si>
    <t>CREDIT FOR CONCEALED SHORTAGE
CREDIT OPEN BALANCE : $242.74
IFC SHIPMENT
CARRIER : USA</t>
  </si>
  <si>
    <t>SO03196159</t>
  </si>
  <si>
    <t>1082658834</t>
  </si>
  <si>
    <t>45613813</t>
  </si>
  <si>
    <t>CAS6440376</t>
  </si>
  <si>
    <t>CREDIT FOR CONCEALED SHORTAGE
CREDIT OPEN BALANCE : $843.44
IFC SHIPMENT
CARRIER : USA</t>
  </si>
  <si>
    <t>SO03196164</t>
  </si>
  <si>
    <t>1082665496</t>
  </si>
  <si>
    <t>45613818</t>
  </si>
  <si>
    <t>CAS6440423</t>
  </si>
  <si>
    <t>CREDIT FOR CONCEALED SHORTAGE
CREDIT OPEN BALANCE : $489.40
IFC SHIPMENT
CARRIER : USA</t>
  </si>
  <si>
    <t>SO03202389</t>
  </si>
  <si>
    <t>1084083717</t>
  </si>
  <si>
    <t>45623610</t>
  </si>
  <si>
    <t>CAS6440461</t>
  </si>
  <si>
    <t>CREDIT FOR CONCEALED SHORTAGE
CREDIT OPEN BALANCE : $318.40
IFC SHIPMENT
CARRIER : USA</t>
  </si>
  <si>
    <t>SO03202396</t>
  </si>
  <si>
    <t>1084092052</t>
  </si>
  <si>
    <t>45623890</t>
  </si>
  <si>
    <t>CAS6429566</t>
  </si>
  <si>
    <t>NC RPL- ARRIVED SCRATCHED/PARTS LOOSE
LINE 17 - LOCK.F94.VLA.619.GRW..134 QTY 1 
043156569656
SHIP TO:
80 4TH ST.
HONESDALE, PA 18431 
------------------------------------------------------------------------------------------------------
Customer Service,
We have received a shipment from your factory, with the following issue(s);
PO# 5298451
Item ID: F94VLA619GRW
Qty: 1
Issue: Scratches on lever/parts loose in pkg, pics attached.
TND Resolution requested : Please issue a no charge replacement for product damaged in transit, advise if you like returned to you or scrapped.
Please send ALL correspondence to cmeinhold@topnotchinc.com, reference Case #PA5751, for our records.</t>
  </si>
  <si>
    <t>14257570</t>
  </si>
  <si>
    <t>5298451</t>
  </si>
  <si>
    <t>8148421</t>
  </si>
  <si>
    <t>043156569656</t>
  </si>
  <si>
    <t>CAS6412867</t>
  </si>
  <si>
    <t>SHORTAGE ON PO 6376454--NC REPLACE
LINE 34-QTY 8--LOCK.F51A.ACC.620.16-086.10-027.134.KA4.C.48-180.2
*****
Is there anything else we should know about your request?: received qty 8 extra of F51A-ACC-622 instead
Selected primary Product Type: Accessories
Do you also need to update the Ship To Address on your order?: No
The original ship-to address is saved on the shipping tab.
Email: ashley.grant@bannersolutions.com
Phone Number: 8883620750
Preferred Contact Method: Email</t>
  </si>
  <si>
    <t>14249172</t>
  </si>
  <si>
    <t>6376454</t>
  </si>
  <si>
    <t>8143480</t>
  </si>
  <si>
    <t>9721033~Incorrect Product|1036~Produit incorrect|1040~Prodotto errato</t>
  </si>
  <si>
    <t>043156420964</t>
  </si>
  <si>
    <t>CAS6440490</t>
  </si>
  <si>
    <t>CREDIT FOR CONCEALED SHORTAGE
CREDIT OPEN BALANCE : $723.29
IFC SHIPMENT
CARRIER : USA</t>
  </si>
  <si>
    <t>SO03202398</t>
  </si>
  <si>
    <t>1084092405</t>
  </si>
  <si>
    <t>45623941</t>
  </si>
  <si>
    <t>CAS6440511</t>
  </si>
  <si>
    <t>CREDIT FOR CONCEALED SHORTAGE
CREDIT OPEN BALANCE : $309.00
IFC SHIPMENT
CARRIER : USA</t>
  </si>
  <si>
    <t>SO03204270</t>
  </si>
  <si>
    <t>1084749230</t>
  </si>
  <si>
    <t>45625350</t>
  </si>
  <si>
    <t>CAS6456555</t>
  </si>
  <si>
    <t>NC RPL MASTERKEY
25R08410
(QTY 2) LOCK.F51A.CF.LAT.619.16-203.10-027.134.MK.C.48-180.2
Door ID UNIT 74
Group 29
RCK# 29814
CH key # 06276
SHIP to 
99-1444 KOAHA PLACE  BAY B
AIEA, HI, 96701, US
Is there anything else we should know about this return?: we received these 2 locks for Unit 74 under key group 29 and should be biting # 06276 but when the locks were installed the construction and owner key does not work we need to replace these 2 locks
Selected primary Product Type: Mechanical Locks
Do you also need to update the Ship To Address on your order?: No
The original ship-to address is saved on the shipping tab.
Did the label match the product inside?: Yes
Email: keith@hardwaretrendshi.com
Phone Number: (808) 484-9370
Preferred Contact Method: Email</t>
  </si>
  <si>
    <t>14190367</t>
  </si>
  <si>
    <t>302073-19</t>
  </si>
  <si>
    <t>8045535</t>
  </si>
  <si>
    <t>FKL-SLLK*9984340</t>
  </si>
  <si>
    <t>Kris Learned</t>
  </si>
  <si>
    <t>CAS6411048</t>
  </si>
  <si>
    <t>Return with 45% restock fee:
Line 1 Qty 98 - LOCK.BE467.F.GRW.619.12-398.10-147.134
Line 2 Qty 511 - LOCK.F10.LAT.619.16-080.10-027.134
Line 3 Qty 322 - LOCK.F40.LAT.619.16-080.10-027.134
Line 4 Qty 182 - LOCK.F170.LAT.619.134
Line 5 Qty 22 - LOCK.B81.619.12-321.10-116.134
Spec change/Replacement has already been ordered
-----------------------------
Is there anything else we should know about this return?: Please return for credit, customer changed finish the day after we ordered. We were unable to cancel in enough time. We already reordered the same material in the finish needed on SO 14243240 / PO 238311. Thank you
Selected primary Product Type: Mechanical Locks
Email: jaysonj@andersonlock.com
Phone Number: (847) 375-4265
Preferred Contact Method: Email</t>
  </si>
  <si>
    <t>14238583</t>
  </si>
  <si>
    <t>238058</t>
  </si>
  <si>
    <t>8116355</t>
  </si>
  <si>
    <t>Schlage Electronic Locks</t>
  </si>
  <si>
    <t>Electronic Locks</t>
  </si>
  <si>
    <t>Control</t>
  </si>
  <si>
    <t>0591033~Spec / Plan / Job Change|1036~Changement prescription/plan/emploi|1040~Spec / Plan / Job Change|3082~Especificación/Plan/Cambio trabajo</t>
  </si>
  <si>
    <t>1403082~Especificación/Plan/Cambio trabajo|1040~Spec / Pian / Modifica lavoro|1033~Spec / Plan / Job Change|1036~Changement prescription/plan/emploi</t>
  </si>
  <si>
    <t>043156611966</t>
  </si>
  <si>
    <t>Return Only</t>
  </si>
  <si>
    <t>Brittney Waterhouse</t>
  </si>
  <si>
    <t>043156184644</t>
  </si>
  <si>
    <t>043156184668</t>
  </si>
  <si>
    <t>043156184637</t>
  </si>
  <si>
    <t>043156268603</t>
  </si>
  <si>
    <t>CAS6412311</t>
  </si>
  <si>
    <t>NC RPL-  did not receive- received wrong product   40152
F58.CEN.622.134.MK.DETAIL.C.48-180.2  QTY 1
Structure KS40442
RCK 14938
change key 40152
250 HIGHLAND RD E
MACEDONIA, OH, 44056</t>
  </si>
  <si>
    <t>14237600</t>
  </si>
  <si>
    <t>99879</t>
  </si>
  <si>
    <t>8121364</t>
  </si>
  <si>
    <t>F58.CEN.622.134.MK.DETAIL.C.48-180.2</t>
  </si>
  <si>
    <t>Lucresia James</t>
  </si>
  <si>
    <t>Kevin Durand</t>
  </si>
  <si>
    <t>CAS6451638</t>
  </si>
  <si>
    <t>CONCEALED SHORTAGE:
LOWES REF#  AD861503
CREDIT BALANCE : $1024.86
CARRER:   SAIA</t>
  </si>
  <si>
    <t>SO03216165</t>
  </si>
  <si>
    <t>302647430</t>
  </si>
  <si>
    <t>45641809</t>
  </si>
  <si>
    <t>CAS6446000</t>
  </si>
  <si>
    <t>CREDIT FOR CONCEALED SHORTAGE
CREDIT OPEN BALANCE $1015.01
PRODUCT AUTHORITY SHIPMENT
CARRIER :  abf</t>
  </si>
  <si>
    <t>14226378</t>
  </si>
  <si>
    <t>1083389904</t>
  </si>
  <si>
    <t>8100535</t>
  </si>
  <si>
    <t>CAS6446031</t>
  </si>
  <si>
    <t>CREDIT FOR CONCEALED SHORTAGE
CREDIT OPEN BALANCE $744.30
PRODUCT AUTHORITY SHIPMENT
CARRIER :  R&amp;L</t>
  </si>
  <si>
    <t>14226193</t>
  </si>
  <si>
    <t>1083393251</t>
  </si>
  <si>
    <t>8100549</t>
  </si>
  <si>
    <t>CAS6446070</t>
  </si>
  <si>
    <t>CREDIT FOR CONCEALED SHORTAGE
CREDIT OPEN BALANCE $277.43
PRODUCT AUTHORITY SHIPMENT
CARRIER :  SAIA</t>
  </si>
  <si>
    <t>14226199</t>
  </si>
  <si>
    <t>1083393309</t>
  </si>
  <si>
    <t>8100637</t>
  </si>
  <si>
    <t>CAS6446111</t>
  </si>
  <si>
    <t>CREDIT FOR CONCEALED SHORTAGE
CREDIT OPEN BALANCE $643.91
PRODUCT AUTHORITY SHIPMENT
CARRIER :  SAIA</t>
  </si>
  <si>
    <t>14230973</t>
  </si>
  <si>
    <t>1085449663</t>
  </si>
  <si>
    <t>8108304</t>
  </si>
  <si>
    <t>CAS6446207</t>
  </si>
  <si>
    <t>CREDIT FOR CONCEALED SHORTAGE
CREDIT OPEN BALANCE : $224.10
IFC SHIPMENT
CARRIER : USA</t>
  </si>
  <si>
    <t>SO03202387</t>
  </si>
  <si>
    <t>1084092335</t>
  </si>
  <si>
    <t>45623282</t>
  </si>
  <si>
    <t>CAS6436344</t>
  </si>
  <si>
    <t>CREDIT FOR CONCEALED SHORTAGE
CREDIT OPEN BALANCE : $201.86
IFC SHIPMENT
CARRIER : USA</t>
  </si>
  <si>
    <t>SO03211934</t>
  </si>
  <si>
    <t>1086872325</t>
  </si>
  <si>
    <t>45635025</t>
  </si>
  <si>
    <t>CAS6436311</t>
  </si>
  <si>
    <t>CREDIT FOR CONCEALED SHORTAGE
CREDIT OPEN BALANCE : $349.76
IFC SHIPMENT
CARRIER : USA</t>
  </si>
  <si>
    <t>SO03207359</t>
  </si>
  <si>
    <t>1085503938</t>
  </si>
  <si>
    <t>45629336</t>
  </si>
  <si>
    <t>CAS6436284</t>
  </si>
  <si>
    <t>CREDIT FOR CONCEALED SHORTAGE
CREDIT OPEN BALANCE : $210.02
IFC SHIPMENT
CARRIER : USA</t>
  </si>
  <si>
    <t>SO03202385</t>
  </si>
  <si>
    <t>1084091699</t>
  </si>
  <si>
    <t>45623205</t>
  </si>
  <si>
    <t>CAS6436254</t>
  </si>
  <si>
    <t>CREDIT FOR CONCEALED SHORTAGE
CREDIT OPEN BALANCE : $936.22
IFC SHIPMENT
CARRIER : USA</t>
  </si>
  <si>
    <t>SO03200830</t>
  </si>
  <si>
    <t>1083754427</t>
  </si>
  <si>
    <t>45621411</t>
  </si>
  <si>
    <t>CAS6436226</t>
  </si>
  <si>
    <t>CREDIT FOR CONCEALED SHORTAGE
CREDIT OPEN BALANCE : $237.36
IFC SHIPMENT
CARRIER : USA</t>
  </si>
  <si>
    <t>SO03200829</t>
  </si>
  <si>
    <t>1083754342</t>
  </si>
  <si>
    <t>45620896</t>
  </si>
  <si>
    <t>CAS6436174</t>
  </si>
  <si>
    <t>CREDIT FOR CONCEALED SHORTAGE
CREDIT OPEN BALANCE : $213.06
IFC SHIPMENT
CARRIER : USA</t>
  </si>
  <si>
    <t>SO03199290</t>
  </si>
  <si>
    <t>1083383355</t>
  </si>
  <si>
    <t>45618421</t>
  </si>
  <si>
    <t>CAS6436150</t>
  </si>
  <si>
    <t>CREDIT FOR CONCEALED SHORTAGE
CREDIT OPEN BALANCE : $211.52
IFC SHIPMENT
CARRIER : USA</t>
  </si>
  <si>
    <t>SO03193973</t>
  </si>
  <si>
    <t>1081850665</t>
  </si>
  <si>
    <t>45613796</t>
  </si>
  <si>
    <t>CAS6436123</t>
  </si>
  <si>
    <t>CREDIT FOR CONCEALED SHORTAGE
CREDIT OPEN BALANCE : $227.81
IFC SHIPMENT
CARRIER : USA</t>
  </si>
  <si>
    <t>SO03193972</t>
  </si>
  <si>
    <t>1081845433</t>
  </si>
  <si>
    <t>45611763</t>
  </si>
  <si>
    <t>CAS6436083</t>
  </si>
  <si>
    <t>CREDIT FOR CONCEALED SHORTAGE
CREDIT OPEN BALANCE : $261.41
IFC SHIPMENT
CARRIER : USA</t>
  </si>
  <si>
    <t>SO03193970</t>
  </si>
  <si>
    <t>1081843355</t>
  </si>
  <si>
    <t>45611608</t>
  </si>
  <si>
    <t>CAS6436043</t>
  </si>
  <si>
    <t>CREDIT FOR CONCEALED SHORTAGE
CREDIT OPEN BALANCE : $292.43
IFC SHIPMENT
CARRIER : USA</t>
  </si>
  <si>
    <t>SO03190811</t>
  </si>
  <si>
    <t>1081099194</t>
  </si>
  <si>
    <t>45610146</t>
  </si>
  <si>
    <t>CAS6436011</t>
  </si>
  <si>
    <t>CREDIT FOR CONCEALED SHORTAGE
CREDIT OPEN BALANCE : $239.71
IFC SHIPMENT
CARRIER : USA</t>
  </si>
  <si>
    <t>SO03188916</t>
  </si>
  <si>
    <t>1080396464</t>
  </si>
  <si>
    <t>45605508</t>
  </si>
  <si>
    <t>CAS6435947</t>
  </si>
  <si>
    <t>CREDIT FOR CONCEALED SHORTAGE
CREDIT OPEN BALANCE $374.44
PRODUCT AUTHORITY SHIPMENT
CARRIER :  R&amp;L</t>
  </si>
  <si>
    <t>14223345</t>
  </si>
  <si>
    <t>1081777819</t>
  </si>
  <si>
    <t>8090079</t>
  </si>
  <si>
    <t>CAS6435916</t>
  </si>
  <si>
    <t>CREDIT FOR CONCEALED SHORTAGE
CREDIT OPEN BALANCE $691.60
PRODUCT AUTHORITY SHIPMENT
CARRIER :  R&amp;L</t>
  </si>
  <si>
    <t>14218778</t>
  </si>
  <si>
    <t>1079697536</t>
  </si>
  <si>
    <t>8087393</t>
  </si>
  <si>
    <t>CAS6435877</t>
  </si>
  <si>
    <t>CREDIT FOR CONCEALED SHORTAGE
CREDIT OPEN BALANCE $831.81
PRODUCT AUTHORITY SHIPMENT
CARRIER :  R&amp;L</t>
  </si>
  <si>
    <t>14223351</t>
  </si>
  <si>
    <t>1081777925</t>
  </si>
  <si>
    <t>8095258</t>
  </si>
  <si>
    <t>CAS6435843</t>
  </si>
  <si>
    <t>CREDIT FOR CONCEALED SHORTAGE
CREDIT OPEN BALANCE $448.26
PRODUCT AUTHORITY SHIPMENT
CARRIER :  R&amp;L</t>
  </si>
  <si>
    <t>14223354</t>
  </si>
  <si>
    <t>1081776874</t>
  </si>
  <si>
    <t>8094617</t>
  </si>
  <si>
    <t>CAS6435818</t>
  </si>
  <si>
    <t>CREDIT FOR CONCEALED SHORTAGE
CREDIT OPEN BALANCE $603.30
PRODUCT AUTHORITY SHIPMENT
CARRIER :  R&amp;L</t>
  </si>
  <si>
    <t>14219124</t>
  </si>
  <si>
    <t>1079697537</t>
  </si>
  <si>
    <t>8087379</t>
  </si>
  <si>
    <t>CAS6435779</t>
  </si>
  <si>
    <t>CREDIT FOR CONCEALED SHORTAGE
CREDIT OPEN BALANCE $484.88
PRODUCT AUTHORITY SHIPMENT
CARRIER :  R&amp;L</t>
  </si>
  <si>
    <t>14218776</t>
  </si>
  <si>
    <t>1079697533</t>
  </si>
  <si>
    <t>8087378</t>
  </si>
  <si>
    <t>CAS6435748</t>
  </si>
  <si>
    <t>CREDIT FOR CONCEALED SHORTAGE
CREDIT OPEN BALANCE $300.69
PRODUCT AUTHORITY SHIPMENT
CARRIER :  R&amp;L</t>
  </si>
  <si>
    <t>14214409</t>
  </si>
  <si>
    <t>1077584457</t>
  </si>
  <si>
    <t>8082720</t>
  </si>
  <si>
    <t>CAS6446244</t>
  </si>
  <si>
    <t>CREDIT FOR CONCEALED SHORTAGE
CREDIT OPEN BALANCE : $285.39
IFC SHIPMENT
CARRIER : USA</t>
  </si>
  <si>
    <t>SO03202581</t>
  </si>
  <si>
    <t>1084091871</t>
  </si>
  <si>
    <t>45623947</t>
  </si>
  <si>
    <t>CAS6446279</t>
  </si>
  <si>
    <t>1085503484</t>
  </si>
  <si>
    <t>45629321</t>
  </si>
  <si>
    <t>CAS6431345</t>
  </si>
  <si>
    <t>NC replace
Lock received missing the deadbolt.
Please replace:
Line 2 QTY 1) LOCK.FC58.CEN.619.134.MK.DETAIL.C.48-180.2
STR KS40769
Keyed to 127 RCK
Ship to same:
CARTER JONES LUMBER
298 HARVEY FAULK RD
SANFORD, NC, 27332
-------------
"We received line 2 without a deadbolt keyed to builder code and homeowner key. When can we receive this?"</t>
  </si>
  <si>
    <t>14240591</t>
  </si>
  <si>
    <t>485098533</t>
  </si>
  <si>
    <t>8125382</t>
  </si>
  <si>
    <t>9751040~Parte / Componente mancante|1033~Missing Part / Component|1036~Composant/pièce manquante</t>
  </si>
  <si>
    <t>CAS6446311</t>
  </si>
  <si>
    <t>CREDIT FOR CONCEALED SHORTAGE
CREDIT OPEN BALANCE : $291.70
IFC SHIPMENT
CARRIER : USA</t>
  </si>
  <si>
    <t>SO03208750</t>
  </si>
  <si>
    <t>1085861250</t>
  </si>
  <si>
    <t>45630831</t>
  </si>
  <si>
    <t>CAS6427329</t>
  </si>
  <si>
    <t>Please replace lines 2 and 5 as defectives.
Line 2 / QTY 1 / LOCK.F93.PLY.609.GEO.134
Line 5 / QTY 2 / LOCK.F10.SIE.716.16-080.10-027.134
Enter credit when pricing in the RPL order.  02/12/26.  lcarl</t>
  </si>
  <si>
    <t>14255126</t>
  </si>
  <si>
    <t>PO-TH260004</t>
  </si>
  <si>
    <t>0161033~Broken / Bad Parts|1040~Parti rotte / difettose|3082~Partes rotas / malas|1036~Pièces cassées / mauvaises</t>
  </si>
  <si>
    <t>043156166756</t>
  </si>
  <si>
    <t>F93</t>
  </si>
  <si>
    <t>Lonnie Carl</t>
  </si>
  <si>
    <t>International</t>
  </si>
  <si>
    <t>043156886647</t>
  </si>
  <si>
    <t>CAS6450741</t>
  </si>
  <si>
    <t>Customer had ordered 5 locks in RH and 11 in LH this was a customer mistake should have been 11 RH and 5 LH Customer would like to return the locks with incorrect handing and receive 6 locks with RH 
Return W/ 45% restocking fee
Line 2 qty. 6 
LOCK.F80.MER.619.LH.16-211.10-026.134.KD.C.48-180.2
Replace at cost
PB15 / 62.5% discount / 6.5% surcharge
qty. 6 LOCK.F80.MER.619.RH.16-211.10-026.134.KD.C.48-180.2
Ship to same address on order:
GENERAL HARDWARE &amp; BUILDERS SUPPLY 
1100 INDUSTRIAL RD UNIT 7 
San Carlos, CA, 94070, US</t>
  </si>
  <si>
    <t>14259604</t>
  </si>
  <si>
    <t>141534MB</t>
  </si>
  <si>
    <t>8151141</t>
  </si>
  <si>
    <t>0661033~Customer Ordered Incorrect Product|1040~(Cliente) Ordinato Prodotto Errato|3082~Cliente solicito producto incorrecto|1036~Le client a commandé le mauvais produit</t>
  </si>
  <si>
    <t>0361033~Customer Ordered Incorrect Product|1040~(Cliente) Ordinato Prodotto Errato|3082~Cliente solicito producto incorrecto|1036~Le client a commandé le mauvais produit</t>
  </si>
  <si>
    <t>LOCK.F80.MER.619.RH.16-211.10-026.134.KD.C.48-180.2</t>
  </si>
  <si>
    <t>Daniel Lister</t>
  </si>
  <si>
    <t>Veronica Ross</t>
  </si>
  <si>
    <t>194555331686</t>
  </si>
  <si>
    <t>CAS6444353</t>
  </si>
  <si>
    <t>SHORT SHIP OCQ0527834141/38 BOL DOCS RECEIVED BUT ACE DENIED REPAYMENT IN THE AMOUNT $913.92.
 ACE SHORT SHIP ON INV 8088325.  CREDIT AMOUNT $913.92.
DEDUCTION TAKEN ON DM# 490565 $913.92.</t>
  </si>
  <si>
    <t>14216960</t>
  </si>
  <si>
    <t>UVC81</t>
  </si>
  <si>
    <t>8088325</t>
  </si>
  <si>
    <t>0511033~Pricebook / ERP Mismatch|1040~Differenza Listino / ERP|3082~Diferencia tarifa de precios vs ERP|1036~Incohérence Tarif public/ERP</t>
  </si>
  <si>
    <t>1181033~Pricebook Error|1040~Errore listino|3082~Error tarifa|1036~Erreur de tarif</t>
  </si>
  <si>
    <t>Sales</t>
  </si>
  <si>
    <t>CAS6423261</t>
  </si>
  <si>
    <t>CONCEALED SHORTAGE:
LOWES REF#  AD852154
CREDIT BALANCE : $209.34
CARRER:   SAIA</t>
  </si>
  <si>
    <t>SO03200823</t>
  </si>
  <si>
    <t>301715649</t>
  </si>
  <si>
    <t>45626339</t>
  </si>
  <si>
    <t>CAS6423240</t>
  </si>
  <si>
    <t>CONCEALED SHORTAGE:
LOWES REF#  AD842108
CREDIT BALANCE : $1112.82
CARRER:   SAIA</t>
  </si>
  <si>
    <t>SO03199291</t>
  </si>
  <si>
    <t>301612730</t>
  </si>
  <si>
    <t>45626302</t>
  </si>
  <si>
    <t>CAS6423213</t>
  </si>
  <si>
    <t>CONCEALED SHORTAGE:
LOWES REF#  AD852153
CREDIT BALANCE : $399.40
CARRER:   SAIA</t>
  </si>
  <si>
    <t>SO03199281</t>
  </si>
  <si>
    <t>301612731</t>
  </si>
  <si>
    <t>45626278</t>
  </si>
  <si>
    <t>CAS6423188</t>
  </si>
  <si>
    <t>CONCEALED SHORTAGE:
LOWES REF#  AD840340
CREDIT BALANCE : $1243.87
CARRER:   SAIA</t>
  </si>
  <si>
    <t>SO03196140</t>
  </si>
  <si>
    <t>301398570</t>
  </si>
  <si>
    <t>45622145</t>
  </si>
  <si>
    <t>CAS6423151</t>
  </si>
  <si>
    <t>CONCEALED SHORTAGE:
LOWES REF#  AD850186
CREDIT BALANCE : $861.23
CARRER:   SAIA</t>
  </si>
  <si>
    <t>SO03196139</t>
  </si>
  <si>
    <t>301398569</t>
  </si>
  <si>
    <t>45622137</t>
  </si>
  <si>
    <t>CAS6423117</t>
  </si>
  <si>
    <t>CONCEALED SHORTAGE:
LOWES REF#  AD833074
CREDIT BALANCE : $253.69
CARRER:   SAIA</t>
  </si>
  <si>
    <t>SO03196138</t>
  </si>
  <si>
    <t>301398568</t>
  </si>
  <si>
    <t>454622135</t>
  </si>
  <si>
    <t>CAS6453559</t>
  </si>
  <si>
    <t>Hi Team,
I have received SRL13109 x60 instead of SRL13232 x 52. Please refer to the images below to see what we have received.
Please send us the replacement via Fedex/Courier asap. Thanks.
Line 6 / QTY - 52 / LOCK.F51A.PLY.626.16-211.10-063.134.KD.C.48-180.2
Hello Earnest.
I want to make sure I understand what is needed before I replace anything.  You ordered 52 ea of this item:
043156399758 / LOCK.F51A.PLY.626.16-211.10-063.134.KD.C.48-180.2   (They are not available in Visual Pack so what was entered was box pack.
Is this what we are replacing?
Please confirm.
043156399758 / LOCK.F51A.PLY.626.16-211.10-063.134.KD.C.48-180.2   52 ea confirmed for replacements.
lcarl</t>
  </si>
  <si>
    <t>14240450</t>
  </si>
  <si>
    <t>P154188</t>
  </si>
  <si>
    <t>043156399758</t>
  </si>
  <si>
    <t>CAS6406815</t>
  </si>
  <si>
    <t>Denied Credit Internal Use Only/Do not send to Orgill for concealed shortage / Damage.
Customer  8123968DMQ
Line #1 - 2 of the BE469ZP V CAM / 043156035502 / 741-9153
See POD attached.
Approved for line # 10 for 8 of the 40-251 lathes.  (Credit case CAS6406988)
The rest of the order shipped 1-7-26 ABF Freight 007086433 and delivered 1-19-26.
See attached request.</t>
  </si>
  <si>
    <t>14242945 - SO03226650</t>
  </si>
  <si>
    <t>93782240</t>
  </si>
  <si>
    <t>8123968</t>
  </si>
  <si>
    <t>Connect</t>
  </si>
  <si>
    <t>0531033~Quote / Product Error|1040~Errore Offerta / Prodotto|3082~Oferta / error producto|1036~Erreur de devis / produit</t>
  </si>
  <si>
    <t>0171033~Broken Package|1040~Collo Rotto|3082~Embalaje roto|1036~Emballage cassé</t>
  </si>
  <si>
    <t>043156035502 / 741-9153</t>
  </si>
  <si>
    <t>Curt Moore</t>
  </si>
  <si>
    <t>CAS6416804</t>
  </si>
  <si>
    <t>CREDIT NEEDED FOR QUOTE NOT BEING APPLIED IN TIME BEFORE ORDER WAS INVOICED AND SHIPPED
PO included "Trinity", but did not include the quote number 1431973 so it was missed.
CREDIT NEEDED:
ENS-INVOICE 8149971
LINE 2-QTY 1--NEW PRICE $40.32    ($13.68 CREDIT)
LINE 3-QTY 5--NEW PRICE $323.40 ($109.70 CREDIT)
APPLY QUOTE 1431973 TO PO 666223, "TRINITY" WAS LISTED ON THE ORIGINAL PO BUT THERE WAS NO QUOTE NUMBER WITH IT
72% discount for PO 666223
line 1-qty 10--LOCK.J170.STR.619.134
line 2-qty 1--LOCK.F59.ACC.625.RH.12-322.10-115.134
line 3-qty 5--LOCK.F58.PLY.625.134.KD.C.48-180.2
*************
CUSTOMER IS NEEDING "TRINITY PCR" ADDED TO SOA FOR PRICING--waiting for specific quote number from customer to make the changes needed for pricing
------------
SOA AND INVOICE PROVIDED TO CUSTOMER
********
Good Morning,
I have not received an order confirmation for this order sent on 1/23, may I please get a copy</t>
  </si>
  <si>
    <t>14256679</t>
  </si>
  <si>
    <t>666223</t>
  </si>
  <si>
    <t>8149971</t>
  </si>
  <si>
    <t>043156229116</t>
  </si>
  <si>
    <t>043156164349</t>
  </si>
  <si>
    <t>CAS6443557</t>
  </si>
  <si>
    <t>DAMAGED IN TRANSIT, NC REPLACEMENT FROM PO 730003
LINE 14-QTY 2--LOCK.CS210-B60.P.D.ACC.619.PLY.LH.12-339.10-121.134.KD.C.48-100.2
LINE 15-QTY 2--LOCK.CS210-B60.P.D.ACC.643e.PLY.LH.12-339.10-121.134.KD.C.48-100.2
---------------
Its two of the CS210-ACC-619-PLY, and two of the CS210-ACC-643E-PLY.  Case # cas6443557
*******************
GETTING CLARIFICATION FROM CUSTOMER ON WHAT NEEDS TO BE REPLACED, AS PICTURES AREN'T SHOWING FUNCTION
--------------------
We received these interconnect locks the other day, and I opened one up and found that the finish is smudged on the lever. So, I inspected all of them and found two satin nickel with smudged levers, and two in ORB that have flea bites in the finish</t>
  </si>
  <si>
    <t>14265399</t>
  </si>
  <si>
    <t>730003#1</t>
  </si>
  <si>
    <t>8160997</t>
  </si>
  <si>
    <t>0223082~Dañado en el Transporte|1040~Danneggiato Durante il Trasporto|1033~Damaged in Transit|1036~Endommagé pendant le transport</t>
  </si>
  <si>
    <t>0471040~Danneggiato Durante il Trasporto|3082~Dañado en el transporte|1033~Damaged in Transit|1036~Endommagé pendant le transport</t>
  </si>
  <si>
    <t>Carrier</t>
  </si>
  <si>
    <t>CS2-SLLK*7425252</t>
  </si>
  <si>
    <t>CS2-SLLK*11334720</t>
  </si>
  <si>
    <t>CAS6444364</t>
  </si>
  <si>
    <t>SHORT SHIP OCQ0528424640/22 BOL DOCS RECEIVED BUT ACE DENIED REPAYMENT IN THE AMOUNT $298.40.
 ACE SHORT SHIP ON INV 8097588.  CREDIT AMOUNT $298.40.
DEDUCTION TAKEN ON DM# 490676  $298.40.</t>
  </si>
  <si>
    <t>14223355</t>
  </si>
  <si>
    <t>UVSNT</t>
  </si>
  <si>
    <t>8097588</t>
  </si>
  <si>
    <t>CAS6442448</t>
  </si>
  <si>
    <t>NC REPLACE-SHORT SHIPMENT
PO 068124
LINE 1-QTY 16--LOCK.F59.PLY.622.12-322.10-115.134
 Sales Order Acknowledgement  - SO Order# 14238514  - Your PO# 068124</t>
  </si>
  <si>
    <t>14238514</t>
  </si>
  <si>
    <t>068124</t>
  </si>
  <si>
    <t>8131771</t>
  </si>
  <si>
    <t>043156227563</t>
  </si>
  <si>
    <t>CAS6437914</t>
  </si>
  <si>
    <t>CREDIT FOR CONCEALED SHORTAGE
CREDIT OPEN BALANCE $433.47
PRODUCT AUTHORITY SHIPMENT
CARRIER :  Estes
ORG PAYMENT 2000561516 8.22.25 - SHORTAGE $5314.87 - SUBMITTED THRU TWO DENIAL PROCESS.
Settlement agreement submitted by Maria - re-payment processed for $4,814.96 -  CK#2000037786 2.13.26
Credit to clear off the open balance $433.47</t>
  </si>
  <si>
    <t>14100300</t>
  </si>
  <si>
    <t>1024537063</t>
  </si>
  <si>
    <t>7901146</t>
  </si>
  <si>
    <t>CAS6422738</t>
  </si>
  <si>
    <t>SO03184162</t>
  </si>
  <si>
    <t>1079340984</t>
  </si>
  <si>
    <t>45601581</t>
  </si>
  <si>
    <t>CAS6422792</t>
  </si>
  <si>
    <t>CREDIT FOR CONCEALED SHORTAGE
CREDIT OPEN BALANCE : $652.94
IFC SHIPMENT
CARRIER : USA</t>
  </si>
  <si>
    <t>SO0318892</t>
  </si>
  <si>
    <t>1080395607</t>
  </si>
  <si>
    <t>45605515</t>
  </si>
  <si>
    <t>CAS6423124</t>
  </si>
  <si>
    <t>NC RPL- missing screw cap
02-035 619  QTY 1
Allen Lowe
50 Eastlake Rd
Reynoldsburg, OH 43068</t>
  </si>
  <si>
    <t>14224935</t>
  </si>
  <si>
    <t>7007064183</t>
  </si>
  <si>
    <t>8096469</t>
  </si>
  <si>
    <t>02-035 619</t>
  </si>
  <si>
    <t>CAS6422820</t>
  </si>
  <si>
    <t>CREDIT FOR CONCEALED SHORTAGE
CREDIT OPEN BALANCE : $286.30
IFC SHIPMENT
CARRIER : USA</t>
  </si>
  <si>
    <t>SO03188929</t>
  </si>
  <si>
    <t>1080394279</t>
  </si>
  <si>
    <t>45605781</t>
  </si>
  <si>
    <t>CAS6422860</t>
  </si>
  <si>
    <t>CREDIT FOR CONCEALED SHORTAGE
CREDIT OPEN BALANCE : $655.25
IFC SHIPMENT
CARRIER : USA</t>
  </si>
  <si>
    <t>SO03194137</t>
  </si>
  <si>
    <t>1081849914</t>
  </si>
  <si>
    <t>45613803</t>
  </si>
  <si>
    <t>CAS6422891</t>
  </si>
  <si>
    <t>CREDIT FOR CONCEALED SHORTAGE
CREDIT OPEN BALANCE : $353.54
IFC SHIPMENT
CARRIER : USA</t>
  </si>
  <si>
    <t>SO03200828</t>
  </si>
  <si>
    <t>1083753601</t>
  </si>
  <si>
    <t>45620894</t>
  </si>
  <si>
    <t>CAS6422922</t>
  </si>
  <si>
    <t>CREDIT FOR CONCEALED SHORTAGE
CREDIT OPEN BALANCE : $950.17
IFC SHIPMENT
CARRIER : USA</t>
  </si>
  <si>
    <t>SO03193967</t>
  </si>
  <si>
    <t>1081849446</t>
  </si>
  <si>
    <t>45611600</t>
  </si>
  <si>
    <t>CAS6422954</t>
  </si>
  <si>
    <t>CREDIT FOR CONCEALED SHORTAGE
CREDIT OPEN BALANCE $421.90
PRODUCT AUTHORITY SHIPMENT
CARRIER : ABF</t>
  </si>
  <si>
    <t>14218779</t>
  </si>
  <si>
    <t>1079697526</t>
  </si>
  <si>
    <t>8087407</t>
  </si>
  <si>
    <t>CAS6422987</t>
  </si>
  <si>
    <t>CREDIT FOR CONCEALED SHORTAGE
CREDIT OPEN BALANCE $983.14
PRODUCT AUTHORITY SHIPMENT
CARRIER : ABF</t>
  </si>
  <si>
    <t>14219178</t>
  </si>
  <si>
    <t>1079697546</t>
  </si>
  <si>
    <t>8087438</t>
  </si>
  <si>
    <t>CAS6423046</t>
  </si>
  <si>
    <t>CONCEALED SHORTAGE:
LOWES REF#  AD833073
CREDIT BALANCE : $433.84
CARRER:   SAIA</t>
  </si>
  <si>
    <t>SO03195393</t>
  </si>
  <si>
    <t>301157379</t>
  </si>
  <si>
    <t>45618335</t>
  </si>
  <si>
    <t>CAS6423075</t>
  </si>
  <si>
    <t>CONCEALED SHORTAGE:
LOWES REF#  AD842107
CREDIT BALANCE : $216.54
CARRER:   SAIA</t>
  </si>
  <si>
    <t>SO03195394</t>
  </si>
  <si>
    <t>301157380</t>
  </si>
  <si>
    <t>45618337</t>
  </si>
  <si>
    <t>CAS6450745</t>
  </si>
  <si>
    <t>CREDIT FOR CONCEALED SHORTAGE
CREDIT OPEN BALANCE : $663.67
IFC SHIPMENT
CARRIER : KNIGHT</t>
  </si>
  <si>
    <t>SO03179219</t>
  </si>
  <si>
    <t>1077988264</t>
  </si>
  <si>
    <t>45594012</t>
  </si>
  <si>
    <t>CAS6438465</t>
  </si>
  <si>
    <t>CREDIT FOR CONCEALED SHORTAGE
CREDIT OPEN BALANCE $876.50
PRODUCT AUTHORITY SHIPMENT
CARRIER :  SAIA
ORG PAYMENT 2000556525 8.21.25 - SHORTAGE $7,170.17 - SUBMITTED THRU TWO DENIAL PROCESS.
Settlement agreement submitted by Maria - re-payment processed for $6,204.04 -  CK#2000037786 2.13.26
Credit to clear off the open balance $433.47</t>
  </si>
  <si>
    <t>14105046</t>
  </si>
  <si>
    <t>1026586563</t>
  </si>
  <si>
    <t>7907811</t>
  </si>
  <si>
    <t>CAS6421723</t>
  </si>
  <si>
    <t>PER MIKE CAMAROTE, SURCHARGE NEEDS TO BE CREDITED, CUSTOMER SHORT PAID FOR PO 65164. EXCEL SHEET ATTACHED TO CASE
TOTAL CREDIT--$854.98</t>
  </si>
  <si>
    <t>14223934</t>
  </si>
  <si>
    <t>65164</t>
  </si>
  <si>
    <t>8090124</t>
  </si>
  <si>
    <t>Surcharge Revision</t>
  </si>
  <si>
    <t>IT</t>
  </si>
  <si>
    <t>CAS6448923</t>
  </si>
  <si>
    <t>CREDIT FOR CONCEALED SHORTAGE:
DISPUTE CLAIM DENIED: DSPT11244869215
OPEN BALANCE $1030.59
CARRIER : UPS</t>
  </si>
  <si>
    <t>SO03117013</t>
  </si>
  <si>
    <t>7H2PZ3ED</t>
  </si>
  <si>
    <t>45518952 AS DM45604544</t>
  </si>
  <si>
    <t>CAS6440720</t>
  </si>
  <si>
    <t>NCR | LOST IN TRANSIT | UPS - 1Z9W01V60396035679
LINE 1, QTY 1: LOCK.F58.CAM.505.134.KA.DETAIL.C.48-180.2
CHANGE KEY 53154
PO43707/SO#1624305
FORT MYERS_939958</t>
  </si>
  <si>
    <t>14253035</t>
  </si>
  <si>
    <t>PO43707</t>
  </si>
  <si>
    <t>8146436</t>
  </si>
  <si>
    <t>Janelta Crawford</t>
  </si>
  <si>
    <t>CAS6448959</t>
  </si>
  <si>
    <t>CREDIT FOR CONCEALED SHORTAGE:
DISPUTE CLAIM DENIED: DSPT11884562271
OPEN BALANCE $8409.26
CARRIER : UPS</t>
  </si>
  <si>
    <t>SO03149403</t>
  </si>
  <si>
    <t>7Q1WGDAR</t>
  </si>
  <si>
    <t>45566253 AS DM 45643120</t>
  </si>
  <si>
    <t>CAS6449144</t>
  </si>
  <si>
    <t>CREDIT FOR CONCEALED SHORTAGE
CREDIT OPEN BALANCE : $2961.61
IFC SHIPMENT
CARRIER : USA
CARRIER UNABLE TO PROVIDE THE DR!!!</t>
  </si>
  <si>
    <t>SO03177485</t>
  </si>
  <si>
    <t>1077634546</t>
  </si>
  <si>
    <t>45592141</t>
  </si>
  <si>
    <t>CAS6449173</t>
  </si>
  <si>
    <t>CREDIT FOR CONCEALED SHORTAGE
CREDIT OPEN BALANCE : $1105.37
IFC SHIPMENT
CARRIER : USA
CARRIER UNABLE TO PROVIDE THE DR!!!</t>
  </si>
  <si>
    <t>SO03192364</t>
  </si>
  <si>
    <t>1081484966</t>
  </si>
  <si>
    <t>45610337</t>
  </si>
  <si>
    <t>CAS6449208</t>
  </si>
  <si>
    <t>CREDIT FOR CONCEALED SHORTAGE
CREDIT OPEN BALANCE : $6092.40
IFC SHIPMENT
CARRIER : SCHNEIDER
CARRIER UNABLE TO PROVIDE THE DR!!!</t>
  </si>
  <si>
    <t>SO03183986</t>
  </si>
  <si>
    <t>1079330761</t>
  </si>
  <si>
    <t>45623288</t>
  </si>
  <si>
    <t>CAS6414467</t>
  </si>
  <si>
    <t>Header / Shipping &amp; Handling Adjustment</t>
  </si>
  <si>
    <t>INVOICES ONLY CHARGED 20.00 FOR SHIPPING ON INV 8126692 INV 8146827 NOT CHARGED. 
Selected credit reason: Freight
Is there anything else we should know about this request: We were only supposed to be charged $20 shipping for our PO no. 40030 and we were charged $20 on invoice no. 8126692 and then $8.10 on this invoice.
One or more files were provided by the customer and saved in the timeline.
Email: dreed@americanopenings.com
Phone Number: 5205748783
Preferred Contact Method: Email</t>
  </si>
  <si>
    <t>14244030</t>
  </si>
  <si>
    <t>40030</t>
  </si>
  <si>
    <t>8146827; 8126692</t>
  </si>
  <si>
    <t>0791033~Incorrect Shipping &amp; Handling|1040~Spedizione &amp; gestione errati|3082~Envío y manejo incorrectos|1036~Expédition et manutention incorrectes</t>
  </si>
  <si>
    <t>4371040~Distrib/Fabbrica - Addebito trasporto erratog|3082~Cargo flete incorrecto: Distribución/Fábrica|1033~Distrib / Factory - Incorrect Freight Charge|1036~Frais de port incorrects</t>
  </si>
  <si>
    <t>CAS6407998</t>
  </si>
  <si>
    <t>REPLACEMENT FOR DEFECTIVE LOCK--PO HUD-P20-001
LINE 4-QTY 1--LOCK.F40.LAT.716.16-080.10-027.134
-------------
A customer service representative reached out to me regarding (1) F40 LAT 716 that will not unlock and gets jammed, and they are not open the door.
Can we please get a replacement for this? This was ordered under HUD-P20-001.</t>
  </si>
  <si>
    <t>14085808</t>
  </si>
  <si>
    <t>HUD-P20-001</t>
  </si>
  <si>
    <t>7889046</t>
  </si>
  <si>
    <t>043156184934</t>
  </si>
  <si>
    <t>CAS6435066</t>
  </si>
  <si>
    <t>CONCEALED SHORTAGE:
LOWES REF#  AD852155
CREDIT BALANCE : $425.13
CARRER:   SAIA</t>
  </si>
  <si>
    <t>SO03202383</t>
  </si>
  <si>
    <t>301785327</t>
  </si>
  <si>
    <t>45627509</t>
  </si>
  <si>
    <t>CAS6435131</t>
  </si>
  <si>
    <t>CONCEALED SHORTAGE:
LOWES REF#  AD843809
CREDIT BALANCE : $247.72
CARRER:   SAIA</t>
  </si>
  <si>
    <t>SO03202580</t>
  </si>
  <si>
    <t>301785328</t>
  </si>
  <si>
    <t>45629262</t>
  </si>
  <si>
    <t>CAS6435170</t>
  </si>
  <si>
    <t>CONCEALED SHORTAGE:
LOWES REF#  AD884670
CREDIT BALANCE : $675.40
CARRER:   SAIA</t>
  </si>
  <si>
    <t>SO03204255</t>
  </si>
  <si>
    <t>301933103</t>
  </si>
  <si>
    <t>45630782</t>
  </si>
  <si>
    <t>CAS6435209</t>
  </si>
  <si>
    <t>CONCEALED SHORTAGE:
LOWES REF#  AD857258
CREDIT BALANCE : $419.73
CARRER:   SAIA</t>
  </si>
  <si>
    <t>SO03204259</t>
  </si>
  <si>
    <t>301933104</t>
  </si>
  <si>
    <t>45633791</t>
  </si>
  <si>
    <t>CAS6435239</t>
  </si>
  <si>
    <t>CONCEALED SHORTAGE:
LOWES REF#  DM001128
CREDIT BALANCE : $211.38
CARRER:   SAIA</t>
  </si>
  <si>
    <t>SO03226662</t>
  </si>
  <si>
    <t>303769523</t>
  </si>
  <si>
    <t>45653172</t>
  </si>
  <si>
    <t>CAS6409143</t>
  </si>
  <si>
    <t>CREDIT FOR CONCEALED SHORTAGE
CREDIT OPEN BALANCE $311.68
PRODUCT AUTHORITY SHIPMENT
CARRIER : R&amp;L</t>
  </si>
  <si>
    <t>14209944</t>
  </si>
  <si>
    <t>1075467813</t>
  </si>
  <si>
    <t>8074943</t>
  </si>
  <si>
    <t>CAS6439009</t>
  </si>
  <si>
    <t>NC RPL- missing screw cap
02-035 622  QTY 1
CLEAR LAKE_4749
Jared Devries
4749 S Shore Dr, Unit F
Clear Lake, IA 50428</t>
  </si>
  <si>
    <t>8099771</t>
  </si>
  <si>
    <t>02-035 622</t>
  </si>
  <si>
    <t>F60</t>
  </si>
  <si>
    <t>CAS6433982</t>
  </si>
  <si>
    <t>SHORT SHIP OCQ0527472929/10 BOL DOCS RECEIVED BUT ACE DENIED REPAYMENT IN THE AMOUNT $1488.36
 ACE SHORT SHIP ON INV 8084696.  CREDIT AMOUNT $1488.36
DEDUCTION TAKEN ON DM# 490523 $1488.36.</t>
  </si>
  <si>
    <t>14215188</t>
  </si>
  <si>
    <t>UV8H4</t>
  </si>
  <si>
    <t>8084696</t>
  </si>
  <si>
    <t>CAS6433924</t>
  </si>
  <si>
    <t>SHORT SHIP OCQ0525922352/33 BOL DOCS RECEIVED BUT ACE DENIED REPAYMENT IN THE AMOUNT $945.28
 ACE SHORT SHIP ON INV 8061581.  CREDIT AMOUNT $945.28
DEDUCTION TAKEN ON DM# 490266 $945.28.</t>
  </si>
  <si>
    <t>14198879</t>
  </si>
  <si>
    <t>Z3JQU</t>
  </si>
  <si>
    <t>8061581</t>
  </si>
  <si>
    <t>CAS6433796</t>
  </si>
  <si>
    <t>SHORT SHIP OCQ0525232863/11 BOL DOCS RECEIVED BUT ACE DENIED REPAYMENT IN THE AMOUNT $1048.80
 ACE SHORT SHIP ON INV 8054631.  CREDIT AMOUNT $1048.80
DEDUCTION TAKEN ON DM# 489961 $13911.74.</t>
  </si>
  <si>
    <t>14189846</t>
  </si>
  <si>
    <t>TW7FU</t>
  </si>
  <si>
    <t>8054631</t>
  </si>
  <si>
    <t>CAS6433179</t>
  </si>
  <si>
    <t>WARRANTY REPLACE FOR IRVINE APARTMENT COMMUNITIES
QTY 40--F10.ACC.619
QTY 20--F170.ACC.619.RH
SHIP TO: 
JOE BELMONTES (951-258-1491)
IRVINE CO-TOWN CENTER APARTMENT HOMES
146 BERKELEY AVE
IRVINE, CA 92612</t>
  </si>
  <si>
    <t>MULTIPLE</t>
  </si>
  <si>
    <t>CAS6432057</t>
  </si>
  <si>
    <t>NC REPLACEMENT FOR PO SAM0111288
LINE 5-QTY 1--LOCK.F51A.BWE.622.COL..16-086.10-027.134.KA.DETAIL.C.48-180.2
KEYED TO SPECIFIC COMBO--55566
***********************
You request this order 14266240 and the production has an error in the line 5, your requested cylinder KA and they send you cylinder KD for a confusion.
So, the person who will receive the order will be wrong.
 Please confirm me if you need a replacement order, I add in Cc the RMA team to see how we proceed in this order.</t>
  </si>
  <si>
    <t>14266240</t>
  </si>
  <si>
    <t>SAM0111288</t>
  </si>
  <si>
    <t>8162384</t>
  </si>
  <si>
    <t>CAS6409187</t>
  </si>
  <si>
    <t>CREDIT FOR CONCEALED SHORTAGE
CREDIT OPEN BALANCE $383.39
PRODUCT AUTHORITY SHIPMENT
CARRIER : SAIA</t>
  </si>
  <si>
    <t>14214236</t>
  </si>
  <si>
    <t>1077543196</t>
  </si>
  <si>
    <t>8074957</t>
  </si>
  <si>
    <t>CAS6409218</t>
  </si>
  <si>
    <t>CREDIT FOR CONCEALED SHORTAGE
CREDIT OPEN BALANCE $325.35
PRODUCT AUTHORITY SHIPMENT
CARRIER : ESTES</t>
  </si>
  <si>
    <t>14218786</t>
  </si>
  <si>
    <t>1079698610</t>
  </si>
  <si>
    <t>8087446</t>
  </si>
  <si>
    <t>CAS6420000</t>
  </si>
  <si>
    <t>CREDIT FOR CONCEALED SHORTAGE
CREDIT OPEN BALANCE $343.58
PRODUCT AUTHORITY SHIPMENT
CARRIER : ABF</t>
  </si>
  <si>
    <t>14209971</t>
  </si>
  <si>
    <t>1075467774</t>
  </si>
  <si>
    <t>8074944</t>
  </si>
  <si>
    <t>CAS6420037</t>
  </si>
  <si>
    <t>CREDIT FOR CONCEALED SHORTAGE
CREDIT OPEN BALANCE $629.55
PRODUCT AUTHORITY SHIPMENT
CARRIER : ABF</t>
  </si>
  <si>
    <t>14214422</t>
  </si>
  <si>
    <t>1077584454</t>
  </si>
  <si>
    <t>8076935</t>
  </si>
  <si>
    <t>CAS6420061</t>
  </si>
  <si>
    <t>14218791</t>
  </si>
  <si>
    <t>1079698613</t>
  </si>
  <si>
    <t>8089386</t>
  </si>
  <si>
    <t>CAS6420089</t>
  </si>
  <si>
    <t>CREDIT FOR CONCEALED SHORTAGE
CREDIT OPEN BALANCE $532.90
PRODUCT AUTHORITY SHIPMENT
CARRIER : ABF</t>
  </si>
  <si>
    <t>14219179</t>
  </si>
  <si>
    <t>1079698602</t>
  </si>
  <si>
    <t>8089387</t>
  </si>
  <si>
    <t>CAS6409167</t>
  </si>
  <si>
    <t>SHORTAGE FROM PO J533-238
NC REPLACE--
LINE 107-QTY 4--LOCK.F58.PLY.622.134.KD.C.48-180.2
LINE 124-QTY 16--LOCK.F51A.LAT.622.CEN..16-211.10-063.134.KA4.C.48-180.2
**SEE ATTACHED SPREADSHEET WITH INFORMATION FROM FERGUSON**</t>
  </si>
  <si>
    <t>SO03229436</t>
  </si>
  <si>
    <t>J533-238</t>
  </si>
  <si>
    <t>45671605</t>
  </si>
  <si>
    <t>043156181407</t>
  </si>
  <si>
    <t>043156534012</t>
  </si>
  <si>
    <t>CAS6423549</t>
  </si>
  <si>
    <t xml:space="preserve">Do you need a replacement for a component or the entire device?: Device
Is there anything else we should know about this return?: Please send a warranty replacement for the F51APLY619. See attached picture.
Selected primary Product Type: Mechanical Locks
Do you also need to update the Ship To Address on your order?: No
The original ship-to address is saved on the shipping tab.
One or more files were provided by the customer and saved in the timeline.
Email: doreen.ackerson@weselldoors.com
Phone Number: 2182873100
Preferred Contact Method: Email
</t>
  </si>
  <si>
    <t>13945962</t>
  </si>
  <si>
    <t>193610</t>
  </si>
  <si>
    <t>7651265</t>
  </si>
  <si>
    <t>FKL-SLLK*9504284</t>
  </si>
  <si>
    <t>CAS6448138</t>
  </si>
  <si>
    <t>Credit due to wrong Price book Order#14268414 / LMC - ABS / 3019446
Quote on order 1431973 should have been on PB 13
This is a COOP so must issue credit not short pay
See Invoice, quote, and worksheet attached.</t>
  </si>
  <si>
    <t>14268414</t>
  </si>
  <si>
    <t>670742</t>
  </si>
  <si>
    <t>8165167</t>
  </si>
  <si>
    <t>4291040~il sistema non ha applicato il prezzo corretto|1033~System Did Not Apply Correct Pricing|1036~Le système n'a pas appliqué la tarification correcte</t>
  </si>
  <si>
    <t>CAS6428964</t>
  </si>
  <si>
    <t>LINE 2-QTY 8--LOCK.F10.ACC.619.16-080.10-027.134
DAMAGED IN TRANSIT, PO 42192362
---------------
PO 42192362
8 – F10ACC619
Can you send replacements?</t>
  </si>
  <si>
    <t>14251265</t>
  </si>
  <si>
    <t>42192362</t>
  </si>
  <si>
    <t>8137876</t>
  </si>
  <si>
    <t>043156793228</t>
  </si>
  <si>
    <t>Details for Sum of Quantity - Series: F Handleset, Factory: Ensenada (+)</t>
  </si>
  <si>
    <t>Details for Count of Case Number - Series: F Handleset, Factory: Ensenada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</si>
</sst>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0" borderId="0" xfId="0" applyFont="1"/>
    <xf numFmtId="22" fontId="0" fillId="0" borderId="0" xfId="0" applyNumberFormat="1"/>
    <xf numFmtId="0" fontId="0" fillId="0" borderId="0" xfId="0" applyAlignment="1">
      <alignment wrapText="1"/>
    </xf>
    <xf numFmtId="0" fontId="0" fillId="0" borderId="0" xfId="0" pivotButton="1"/>
    <xf numFmtId="0" fontId="0" fillId="0" borderId="0" xfId="0" applyNumberFormat="1"/>
  </cellXfs>
  <cellStyles count="1">
    <cellStyle name="Normal" xfId="0" builtinId="0"/>
  </cellStyles>
  <dxfs count="4">
    <dxf>
      <alignment horizontal="general" vertical="bottom" textRotation="0" wrapText="1" indent="0" justifyLastLine="0" shrinkToFit="0" readingOrder="0"/>
    </dxf>
    <dxf>
      <numFmt numFmtId="27" formatCode="m/d/yyyy\ h:mm"/>
    </dxf>
    <dxf>
      <alignment horizontal="general" vertical="bottom" textRotation="0" wrapText="1" indent="0" justifyLastLine="0" shrinkToFit="0" readingOrder="0"/>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flores7\Downloads\Week%206%20IPL-CPPM.xlsx" TargetMode="External"/><Relationship Id="rId1" Type="http://schemas.openxmlformats.org/officeDocument/2006/relationships/externalLinkPath" Target="https://allegion.sharepoint.com/Users/cflores7/Downloads/Week%206%20IPL-CPP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PL"/>
      <sheetName val="CPPM"/>
      <sheetName val="Lines"/>
      <sheetName val="IPL - Cases"/>
      <sheetName val="CPPM - Cases"/>
    </sheetNames>
    <sheetDataSet>
      <sheetData sheetId="0"/>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c-gsolorzano\Downloads\MacroIPL%20(1).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lorzano, Gilberto" refreshedDate="46086.421059143519" createdVersion="5" refreshedVersion="8" minRefreshableVersion="3" recordCount="315" xr:uid="{412377D8-4C37-408C-92CD-76D007D2108A}">
  <cacheSource type="worksheet">
    <worksheetSource ref="A1:AT316" sheet="Data Res Mech" r:id="rId2"/>
  </cacheSource>
  <cacheFields count="46">
    <cacheField name="Created On" numFmtId="22">
      <sharedItems containsSemiMixedTypes="0" containsNonDate="0" containsDate="1" containsString="0" minDate="2026-02-02T09:32:00" maxDate="2026-02-27T18:24:38" count="230">
        <d v="2026-02-13T16:31:00"/>
        <d v="2026-02-13T13:16:41"/>
        <d v="2026-02-04T15:48:20"/>
        <d v="2026-02-03T12:53:12"/>
        <d v="2026-02-03T12:33:35"/>
        <d v="2026-02-26T10:17:48"/>
        <d v="2026-02-26T10:06:10"/>
        <d v="2026-02-10T14:26:15"/>
        <d v="2026-02-19T17:46:52"/>
        <d v="2026-02-19T17:27:55"/>
        <d v="2026-02-25T14:53:11"/>
        <d v="2026-02-23T09:23:00"/>
        <d v="2026-02-20T11:02:33"/>
        <d v="2026-02-20T10:54:05"/>
        <d v="2026-02-20T10:46:58"/>
        <d v="2026-02-20T10:40:31"/>
        <d v="2026-02-20T10:33:31"/>
        <d v="2026-02-20T10:23:39"/>
        <d v="2026-02-16T16:53:48"/>
        <d v="2026-02-12T11:36:39"/>
        <d v="2026-02-02T13:48:50"/>
        <d v="2026-02-19T15:58:15"/>
        <d v="2026-02-19T15:29:29"/>
        <d v="2026-02-19T14:09:42"/>
        <d v="2026-02-18T11:39:07"/>
        <d v="2026-02-16T12:38:13"/>
        <d v="2026-02-16T12:16:50"/>
        <d v="2026-02-16T11:00:37"/>
        <d v="2026-02-13T09:39:30"/>
        <d v="2026-02-04T15:26:43"/>
        <d v="2026-02-16T15:30:03"/>
        <d v="2026-02-16T15:22:46"/>
        <d v="2026-02-16T15:13:53"/>
        <d v="2026-02-16T14:28:46"/>
        <d v="2026-02-16T13:40:51"/>
        <d v="2026-02-16T13:07:36"/>
        <d v="2026-02-26T11:39:07"/>
        <d v="2026-02-17T16:05:03"/>
        <d v="2026-02-17T15:58:00"/>
        <d v="2026-02-17T15:52:25"/>
        <d v="2026-02-17T15:46:04"/>
        <d v="2026-02-17T15:39:55"/>
        <d v="2026-02-17T15:28:10"/>
        <d v="2026-02-17T15:22:25"/>
        <d v="2026-02-17T15:16:25"/>
        <d v="2026-02-17T15:07:02"/>
        <d v="2026-02-17T15:00:47"/>
        <d v="2026-02-17T14:53:19"/>
        <d v="2026-02-17T14:37:28"/>
        <d v="2026-02-17T14:30:30"/>
        <d v="2026-02-17T14:23:16"/>
        <d v="2026-02-17T14:16:38"/>
        <d v="2026-02-17T14:09:14"/>
        <d v="2026-02-17T14:02:07"/>
        <d v="2026-02-17T13:53:42"/>
        <d v="2026-02-04T09:38:16"/>
        <d v="2026-02-13T17:00:45"/>
        <d v="2026-02-05T17:24:37"/>
        <d v="2026-02-27T18:24:38"/>
        <d v="2026-02-27T15:01:34"/>
        <d v="2026-02-25T11:34:42"/>
        <d v="2026-02-16T15:08:55"/>
        <d v="2026-02-10T15:35:23"/>
        <d v="2026-02-10T15:29:31"/>
        <d v="2026-02-10T15:23:09"/>
        <d v="2026-02-10T15:16:17"/>
        <d v="2026-02-10T15:09:55"/>
        <d v="2026-02-10T15:04:07"/>
        <d v="2026-02-23T09:58:23"/>
        <d v="2026-02-10T15:05:06"/>
        <d v="2026-02-10T12:28:25"/>
        <d v="2026-02-06T12:14:09"/>
        <d v="2026-02-06T08:24:34"/>
        <d v="2026-02-10T10:16:01"/>
        <d v="2026-02-24T12:52:51"/>
        <d v="2026-02-19T13:08:45"/>
        <d v="2026-02-19T09:29:39"/>
        <d v="2026-02-05T11:32:28"/>
        <d v="2026-02-23T13:45:25"/>
        <d v="2026-02-23T09:44:08"/>
        <d v="2026-02-12T12:15:21"/>
        <d v="2026-02-27T10:03:28"/>
        <d v="2026-02-18T16:23:32"/>
        <d v="2026-02-16T17:34:04"/>
        <d v="2026-02-16T17:03:46"/>
        <d v="2026-02-16T16:26:39"/>
        <d v="2026-02-16T13:54:19"/>
        <d v="2026-02-16T09:19:09"/>
        <d v="2026-02-02T13:03:11"/>
        <d v="2026-02-02T12:50:59"/>
        <d v="2026-02-23T11:21:01"/>
        <d v="2026-02-23T09:53:20"/>
        <d v="2026-02-23T09:44:03"/>
        <d v="2026-02-23T09:33:26"/>
        <d v="2026-02-23T09:07:44"/>
        <d v="2026-02-23T09:00:46"/>
        <d v="2026-02-12T17:24:39"/>
        <d v="2026-02-09T09:09:01"/>
        <d v="2026-02-09T09:08:10"/>
        <d v="2026-02-03T10:21:54"/>
        <d v="2026-02-23T10:31:32"/>
        <d v="2026-02-02T16:07:22"/>
        <d v="2026-02-24T11:58:49"/>
        <d v="2026-02-24T11:33:29"/>
        <d v="2026-02-10T16:32:24"/>
        <d v="2026-02-03T11:23:53"/>
        <d v="2026-02-09T14:01:15"/>
        <d v="2026-02-09T13:53:10"/>
        <d v="2026-02-09T13:46:10"/>
        <d v="2026-02-09T13:37:05"/>
        <d v="2026-02-03T11:36:33"/>
        <d v="2026-02-03T11:29:38"/>
        <d v="2026-02-03T11:20:27"/>
        <d v="2026-02-20T09:16:30"/>
        <d v="2026-02-20T09:04:28"/>
        <d v="2026-02-20T15:18:43"/>
        <d v="2026-02-20T15:10:40"/>
        <d v="2026-02-20T14:57:13"/>
        <d v="2026-02-17T12:00:22"/>
        <d v="2026-02-17T11:54:39"/>
        <d v="2026-02-17T11:47:43"/>
        <d v="2026-02-17T11:39:54"/>
        <d v="2026-02-17T11:30:22"/>
        <d v="2026-02-17T11:26:05"/>
        <d v="2026-02-12T09:27:02"/>
        <d v="2026-02-12T09:21:51"/>
        <d v="2026-02-06T14:59:28"/>
        <d v="2026-02-02T16:35:41"/>
        <d v="2026-02-24T15:32:06"/>
        <d v="2026-02-24T15:24:57"/>
        <d v="2026-02-24T15:16:48"/>
        <d v="2026-02-24T14:37:00"/>
        <d v="2026-02-24T14:29:06"/>
        <d v="2026-02-23T11:53:31"/>
        <d v="2026-02-18T14:10:50"/>
        <d v="2026-02-25T11:35:48"/>
        <d v="2026-02-16T18:15:19"/>
        <d v="2026-02-10T14:57:12"/>
        <d v="2026-02-10T14:49:48"/>
        <d v="2026-02-10T14:37:59"/>
        <d v="2026-02-10T14:30:50"/>
        <d v="2026-02-10T14:24:09"/>
        <d v="2026-02-10T14:17:41"/>
        <d v="2026-02-10T14:11:14"/>
        <d v="2026-02-10T14:04:56"/>
        <d v="2026-02-10T13:58:58"/>
        <d v="2026-02-10T13:49:28"/>
        <d v="2026-02-18T12:05:17"/>
        <d v="2026-02-20T10:09:49"/>
        <d v="2026-02-10T13:28:10"/>
        <d v="2026-02-21T15:55:00"/>
        <d v="2026-02-20T14:35:57"/>
        <d v="2026-02-12T14:59:11"/>
        <d v="2026-02-10T18:47:41"/>
        <d v="2026-02-06T10:58:02"/>
        <d v="2026-02-02T09:32:00"/>
        <d v="2026-02-26T16:09:46"/>
        <d v="2026-02-02T12:18:50"/>
        <d v="2026-02-02T11:40:28"/>
        <d v="2026-02-02T11:00:05"/>
        <d v="2026-02-17T09:46:28"/>
        <d v="2026-02-26T12:11:36"/>
        <d v="2026-02-21T14:55:46"/>
        <d v="2026-02-10T09:30:47"/>
        <d v="2026-02-27T16:40:39"/>
        <d v="2026-02-12T10:22:04"/>
        <d v="2026-02-20T12:49:45"/>
        <d v="2026-02-23T14:46:59"/>
        <d v="2026-02-23T14:40:31"/>
        <d v="2026-02-23T14:33:50"/>
        <d v="2026-02-23T14:26:27"/>
        <d v="2026-02-23T14:05:05"/>
        <d v="2026-02-23T13:58:02"/>
        <d v="2026-02-23T13:50:51"/>
        <d v="2026-02-23T13:42:07"/>
        <d v="2026-02-11T10:10:59"/>
        <d v="2026-02-23T14:49:16"/>
        <d v="2026-02-25T15:08:14"/>
        <d v="2026-02-24T11:39:39"/>
        <d v="2026-02-05T14:27:33"/>
        <d v="2026-02-04T13:34:38"/>
        <d v="2026-02-04T09:02:10"/>
        <d v="2026-02-03T09:34:17"/>
        <d v="2026-02-27T13:30:27"/>
        <d v="2026-02-13T16:22:54"/>
        <d v="2026-02-19T12:20:06"/>
        <d v="2026-02-19T12:14:15"/>
        <d v="2026-02-19T12:08:18"/>
        <d v="2026-02-19T12:01:26"/>
        <d v="2026-02-19T11:53:07"/>
        <d v="2026-02-19T11:47:01"/>
        <d v="2026-02-19T11:41:02"/>
        <d v="2026-02-19T11:34:15"/>
        <d v="2026-02-19T11:26:51"/>
        <d v="2026-02-16T16:05:11"/>
        <d v="2026-02-04T16:18:19"/>
        <d v="2026-02-11T09:36:40"/>
        <d v="2026-02-03T09:03:10"/>
        <d v="2026-02-19T09:42:52"/>
        <d v="2026-02-09T13:44:12"/>
        <d v="2026-02-04T15:13:31"/>
        <d v="2026-02-18T15:41:52"/>
        <d v="2026-02-18T13:46:14"/>
        <d v="2026-02-11T10:43:49"/>
        <d v="2026-02-06T15:39:51"/>
        <d v="2026-02-25T10:42:46"/>
        <d v="2026-02-25T09:30:40"/>
        <d v="2026-02-19T17:29:25"/>
        <d v="2026-02-10T16:40:01"/>
        <d v="2026-02-09T12:39:05"/>
        <d v="2026-02-06T16:33:23"/>
        <d v="2026-02-05T15:50:00"/>
        <d v="2026-02-05T15:44:28"/>
        <d v="2026-02-05T15:38:57"/>
        <d v="2026-02-05T15:33:20"/>
        <d v="2026-02-05T15:27:51"/>
        <d v="2026-02-05T15:21:56"/>
        <d v="2026-02-05T15:15:02"/>
        <d v="2026-02-05T15:09:10"/>
        <d v="2026-02-05T15:01:01"/>
        <d v="2026-02-05T14:55:27"/>
        <d v="2026-02-05T14:48:28"/>
        <d v="2026-02-05T14:41:25"/>
        <d v="2026-02-05T14:35:24"/>
        <d v="2026-02-05T14:29:12"/>
        <d v="2026-02-05T14:22:19"/>
        <d v="2026-02-05T14:14:16"/>
        <d v="2026-02-05T13:57:39"/>
        <d v="2026-02-05T13:50:49"/>
        <d v="2026-02-05T13:43:54"/>
      </sharedItems>
    </cacheField>
    <cacheField name="Case Number" numFmtId="0">
      <sharedItems/>
    </cacheField>
    <cacheField name="Case Type" numFmtId="0">
      <sharedItems/>
    </cacheField>
    <cacheField name="Interaction Type" numFmtId="0">
      <sharedItems/>
    </cacheField>
    <cacheField name="Interaction Subtype" numFmtId="0">
      <sharedItems/>
    </cacheField>
    <cacheField name="Legacy Interaction Type" numFmtId="0">
      <sharedItems containsNonDate="0" containsString="0" containsBlank="1"/>
    </cacheField>
    <cacheField name="OOB or Reliability?" numFmtId="0">
      <sharedItems containsBlank="1"/>
    </cacheField>
    <cacheField name="Brand" numFmtId="0">
      <sharedItems/>
    </cacheField>
    <cacheField name="Category" numFmtId="0">
      <sharedItems/>
    </cacheField>
    <cacheField name="Series" numFmtId="0">
      <sharedItems count="5">
        <s v="FC"/>
        <s v="F Handleset"/>
        <s v="F Knob/Lever"/>
        <s v="B"/>
        <s v="Multiple"/>
      </sharedItems>
    </cacheField>
    <cacheField name="Factory" numFmtId="0">
      <sharedItems count="2">
        <s v="Ensenada"/>
        <s v="Olathe"/>
      </sharedItems>
    </cacheField>
    <cacheField name="Description" numFmtId="0">
      <sharedItems longText="1"/>
    </cacheField>
    <cacheField name="Customer" numFmtId="0">
      <sharedItems count="73">
        <s v="Kendrick Louie"/>
        <s v="3-G TRIM INC"/>
        <s v="TOP NOTCH DISTRIBUTORS"/>
        <s v="Haskell's Hardware"/>
        <s v="FERGUSON ENTERPRISES INC (FULFILLMENT)"/>
        <s v="Precision Doors &amp; Hardaware"/>
        <s v="ACE HARDWARE CORP - A1 - EDI only"/>
        <s v="Sergio Chinchilla"/>
        <s v="Mid-Am Holdings LLC"/>
        <s v="HOME DEPOT"/>
        <s v="BANNER SOLUTIONS - EDI"/>
        <s v="Amanda Alley"/>
        <s v="DO IT BEST CORP - 6426 A1"/>
        <s v="BEP LYMAN LLC"/>
        <s v="GOLICH BUILDING SUPPLY INC"/>
        <s v="Arch Door LLC"/>
        <s v="ORGILL INC - A1"/>
        <s v="BUILDERS SUPPLY CO INC"/>
        <s v="LUMBERMENS MERCHANDISING CORP"/>
        <s v="Katie ellis"/>
        <s v="Chelsea Stone"/>
        <s v="SPECIALTY DOOR CO"/>
        <s v="GENERAL HARDWARE &amp; BUILDERS SUPPLY"/>
        <s v="LAFORCE LLC"/>
        <s v="LOWES COMPANIES INC - EDI ACCOUNT"/>
        <s v="WAUSAU SUPPLY COMPANY"/>
        <s v="RULE4 LLC"/>
        <s v="GR MITCHELL INC"/>
        <s v="BANNER SOLUTIONS"/>
        <s v="JESKE COMPANY INC"/>
        <s v="ORGILL INC - B1"/>
        <s v="AMERICAN OPENINGS INC"/>
        <s v="Eric Olheiser"/>
        <s v="D H PACE COMPANY - DBA PASEK SECURITY"/>
        <s v="IRVINE COMPANY APARTMENT COMMUNITIES (MAIN)"/>
        <s v="Ryan Canham"/>
        <s v="ALLEGION - CANADA INC"/>
        <s v="Allegion Canada EDI Only"/>
        <s v="Jim Schumacher"/>
        <s v="RIO GRANDE CO"/>
        <s v="Builders First Source Inc - dba BFS Operations LLC"/>
        <s v="ALLEGION - SCHLAGE LOCK CO"/>
        <s v="Lyle Peacock"/>
        <s v="SCHILLING BROTHERS LUMBER"/>
        <s v="D &amp; M INDUSTRIES"/>
        <s v="FERGUSON ENTERPRISES INC - HQ"/>
        <s v="B &amp; K DISTRIBUTORS"/>
        <s v="Jeske Company Inc - EDI Account"/>
        <s v="ALLEGION - RSO SOUTHERN CALIFORNIA"/>
        <s v="AMAZON.COM SERVICES INC"/>
        <s v="COOK &amp; BOARDMAN LLC"/>
        <s v="MORGAN DEVELOPMENT &amp; SUPPLY"/>
        <s v="Ryan McLellan"/>
        <s v="UNIFIED DOOR AND HARDWARE GROUP - DBA COMMERCIAL HARDWARE OF MARYLAND"/>
        <s v="HMH Finishes LLC"/>
        <s v="NEWCO DEALERS WHOLESALE - DBA DEALERS WHOLESALE"/>
        <s v="AMERICAN BUILDING SUPPLY"/>
        <s v="YOUNGER BROTHERS DOOR &amp; TRIM"/>
        <s v="Allegion New Zealand "/>
        <s v="NEXT LEVEL DOOR &amp; MILLWORK - REDLANDS"/>
        <s v="ALLEGION (THAILAND) LIMITED (HEAD OFFICE)"/>
        <s v="ACE HARDWARE CORP - D1"/>
        <s v="ELAINE EVERETTS LIGHTING LLC"/>
        <s v="84 LUMBER COMPANY"/>
        <s v="ANDERSON LOCK CO"/>
        <s v="HARDWARE TRENDS HAWAII INC"/>
        <s v="PACIFIC BUILDERS HARDWARE &amp; LIGHTING INC"/>
        <s v="MAZIUK &amp; CO INC"/>
        <s v="SPOKANE HARDWARE SUPPLY INC"/>
        <s v="DO IT BEST STORE # 0071"/>
        <s v="COOK &amp; BOARDMAN - DBA CONTRACT HARDWARE OF FLORIDA"/>
        <s v="Patterson Palm"/>
        <s v="LUMBERMENS INC"/>
      </sharedItems>
    </cacheField>
    <cacheField name="Original Order #" numFmtId="0">
      <sharedItems containsBlank="1"/>
    </cacheField>
    <cacheField name="PO #" numFmtId="0">
      <sharedItems containsBlank="1"/>
    </cacheField>
    <cacheField name="Invoice #" numFmtId="0">
      <sharedItems containsBlank="1"/>
    </cacheField>
    <cacheField name="Line Number" numFmtId="0">
      <sharedItems containsString="0" containsBlank="1" containsNumber="1" containsInteger="1" minValue="1" maxValue="134"/>
    </cacheField>
    <cacheField name="Brand2" numFmtId="0">
      <sharedItems containsBlank="1"/>
    </cacheField>
    <cacheField name="Category3" numFmtId="0">
      <sharedItems containsBlank="1"/>
    </cacheField>
    <cacheField name="Series4" numFmtId="0">
      <sharedItems containsBlank="1"/>
    </cacheField>
    <cacheField name="Factory5" numFmtId="0">
      <sharedItems containsBlank="1"/>
    </cacheField>
    <cacheField name="Quantity" numFmtId="0">
      <sharedItems containsString="0" containsBlank="1" containsNumber="1" containsInteger="1" minValue="1" maxValue="25673"/>
    </cacheField>
    <cacheField name="Reason" numFmtId="0">
      <sharedItems containsBlank="1"/>
    </cacheField>
    <cacheField name="Detail Reason" numFmtId="0">
      <sharedItems containsBlank="1"/>
    </cacheField>
    <cacheField name="Subdetail Reason" numFmtId="0">
      <sharedItems containsBlank="1"/>
    </cacheField>
    <cacheField name="Point of Failure" numFmtId="0">
      <sharedItems containsBlank="1"/>
    </cacheField>
    <cacheField name="Accountability" numFmtId="0">
      <sharedItems containsNonDate="0" containsString="0" containsBlank="1"/>
    </cacheField>
    <cacheField name="Part #" numFmtId="0">
      <sharedItems containsBlank="1"/>
    </cacheField>
    <cacheField name="Component" numFmtId="0">
      <sharedItems containsBlank="1"/>
    </cacheField>
    <cacheField name="Subcomponent" numFmtId="0">
      <sharedItems containsBlank="1"/>
    </cacheField>
    <cacheField name="Manufacture Date" numFmtId="0">
      <sharedItems containsNonDate="0" containsString="0" containsBlank="1"/>
    </cacheField>
    <cacheField name="Ship Date" numFmtId="0">
      <sharedItems containsString="0" containsBlank="1" containsNumber="1" minValue="45503.833333333299" maxValue="46099.833333333299"/>
    </cacheField>
    <cacheField name="Installation Date" numFmtId="0">
      <sharedItems containsString="0" containsBlank="1" containsNumber="1" minValue="38764.083333333299" maxValue="38764.083333333299"/>
    </cacheField>
    <cacheField name="# of Lines Affected" numFmtId="0">
      <sharedItems containsNonDate="0" containsString="0" containsBlank="1"/>
    </cacheField>
    <cacheField name="Transaction Type" numFmtId="0">
      <sharedItems containsBlank="1"/>
    </cacheField>
    <cacheField name="Status" numFmtId="0">
      <sharedItems/>
    </cacheField>
    <cacheField name="Created By" numFmtId="0">
      <sharedItems/>
    </cacheField>
    <cacheField name="Owner" numFmtId="0">
      <sharedItems/>
    </cacheField>
    <cacheField name="Functional Group" numFmtId="0">
      <sharedItems/>
    </cacheField>
    <cacheField name="Brand / Category" numFmtId="0">
      <sharedItems/>
    </cacheField>
    <cacheField name="Reason (English)" numFmtId="0">
      <sharedItems count="20">
        <s v="Functional Mechanical"/>
        <s v="Customer Forgot or Incorrect Quote #"/>
        <s v="Appearance / Finish"/>
        <e v="#VALUE!"/>
        <s v="Allegion Shipped Incorrect Amount"/>
        <s v="Quote / Product Error"/>
        <s v="Customer Ordered Incorrect Product"/>
        <s v="Allegion Sent Incorrect Product / Part"/>
        <s v=""/>
        <s v="Allegion Sent Missing Product / Part"/>
        <s v="Allegion Entered Incorrect Product"/>
        <s v="Allegion Missed Line"/>
        <s v="Functional Electronic"/>
        <s v="Damaged in Transit"/>
        <s v="Incorrect Shipping &amp; Handling"/>
        <s v="Spec / Plan / Job Change"/>
        <s v="Pricebook / ERP Mismatch"/>
        <s v="Insufficient Packaging"/>
        <s v="Allegion Entered Incorrect Amount"/>
        <s v="Lead Time / Availability"/>
      </sharedItems>
    </cacheField>
    <cacheField name="Detail Reason (English)" numFmtId="0">
      <sharedItems count="31">
        <s v="Broken / Bad Parts"/>
        <s v="Customer Provided Incorrect Quote #"/>
        <s v="Dented / Scratches"/>
        <s v="Lost in Transit - Carrier"/>
        <s v="Overage"/>
        <s v="Broken Package"/>
        <s v="Customer Ordered Incorrect Product"/>
        <s v="Customer Forgot to Add Quote"/>
        <s v="Incorrect Product"/>
        <s v=""/>
        <s v="Shortage"/>
        <s v="Missing Product"/>
        <s v="Allegion Entered Incorrect Product"/>
        <s v="Allegion Missed Line - Shipping"/>
        <s v="Cannot lock / Unlock"/>
        <s v="Damaged in Transit"/>
        <s v="Missing Part / Component"/>
        <s v="Quote Error"/>
        <e v="#VALUE!"/>
        <s v="Distrib / Factory - Incorrect Freight Charge"/>
        <s v="Wrong Address - Carrier"/>
        <s v="Spec / Plan / Job Change"/>
        <s v="Incorrect Part / Component"/>
        <s v="Worn"/>
        <s v="System Did Not Apply Correct Pricing"/>
        <s v="Insufficient Packaging"/>
        <s v="Pricebook Error"/>
        <s v="Lead Time / Availability"/>
        <s v="Peeling"/>
        <s v="Color Mismatch"/>
        <s v="Installation / Removal / Prep"/>
      </sharedItems>
    </cacheField>
    <cacheField name="Subdetail Reason (English)" numFmtId="0">
      <sharedItems/>
    </cacheField>
    <cacheField name="Open Month" numFmtId="0">
      <sharedItems/>
    </cacheField>
    <cacheField name="Interaction Type (English)" numFmtId="0">
      <sharedItems/>
    </cacheField>
    <cacheField name="Parent Accountabilit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x v="0"/>
    <s v="CAS6431254"/>
    <s v="Issue"/>
    <s v="Return / Replace / Scrap"/>
    <s v="Defective Product"/>
    <m/>
    <s v="Reliability"/>
    <s v="Schlage Residential"/>
    <s v="Lock"/>
    <x v="0"/>
    <x v="0"/>
    <s v="BROADWAY LEVER, FROM HANDLESET_x000a__x000a_SPRING CAGE FOR THE LEVERS ARE BROKEN, DOOR DOESN'T LATCH_x000a__x000a_DOESN'T HAVE A PO NUMBER OR SALES ORDER NUMBER, HE WAS A LOCKSMITH WORKING WITH A CONSUMER. TRANSFERRED TO CONSUMER RES TECH_x000a__x000a_2/16/2026 Jacobo S_x000a_Model: FCT60_x000a_Issue: Sagging_x000a_TS: None_x000a_Resolution: Warranty_x000a_Send(1)FCT58 GRW 619_x000a_Send(1)FCT59 BRW 619 GRW RH"/>
    <x v="0"/>
    <s v="."/>
    <m/>
    <m/>
    <m/>
    <s v="Schlage Residential"/>
    <s v="Lock"/>
    <s v="FC"/>
    <s v="Ensenada"/>
    <n v="1"/>
    <s v="0311033~Functional Mechanical|1040~Funzionamento Meccanico|3082~Función mecánica|1036~Functional Mechanical"/>
    <s v="0161033~Broken / Bad Parts|1040~Parti rotte / difettose|3082~Partes rotas / malas|1036~Pièces cassées / mauvaises"/>
    <m/>
    <s v="Product"/>
    <m/>
    <m/>
    <s v="FC58"/>
    <s v="handle"/>
    <m/>
    <m/>
    <n v="38764.083333333299"/>
    <m/>
    <s v="Replace Only"/>
    <s v="Active"/>
    <s v="Jessica Cook"/>
    <s v="Jacobo Salazar"/>
    <s v="Residential - Channel"/>
    <s v="Schlage Residential Mechanical"/>
    <x v="0"/>
    <x v="0"/>
    <s v=""/>
    <s v="2026 / 02"/>
    <s v="Return / Replace / Scrap"/>
    <s v="Product"/>
  </r>
  <r>
    <x v="0"/>
    <s v="CAS6431254"/>
    <s v="Issue"/>
    <s v="Return / Replace / Scrap"/>
    <s v="Defective Product"/>
    <m/>
    <s v="Reliability"/>
    <s v="Schlage Residential"/>
    <s v="Lock"/>
    <x v="0"/>
    <x v="0"/>
    <s v="BROADWAY LEVER, FROM HANDLESET_x000a__x000a_SPRING CAGE FOR THE LEVERS ARE BROKEN, DOOR DOESN'T LATCH_x000a__x000a_DOESN'T HAVE A PO NUMBER OR SALES ORDER NUMBER, HE WAS A LOCKSMITH WORKING WITH A CONSUMER. TRANSFERRED TO CONSUMER RES TECH_x000a__x000a_2/16/2026 Jacobo S_x000a_Model: FCT60_x000a_Issue: Sagging_x000a_TS: None_x000a_Resolution: Warranty_x000a_Send(1)FCT58 GRW 619_x000a_Send(1)FCT59 BRW 619 GRW RH"/>
    <x v="0"/>
    <s v="."/>
    <m/>
    <m/>
    <m/>
    <s v="Schlage Residential"/>
    <s v="Lock"/>
    <s v="FC"/>
    <s v="Ensenada"/>
    <n v="1"/>
    <s v="0311033~Functional Mechanical|1040~Funzionamento Meccanico|3082~Función mecánica|1036~Functional Mechanical"/>
    <s v="0161033~Broken / Bad Parts|1040~Parti rotte / difettose|3082~Partes rotas / malas|1036~Pièces cassées / mauvaises"/>
    <m/>
    <s v="Product"/>
    <m/>
    <m/>
    <s v="FCT59"/>
    <s v="Lever"/>
    <m/>
    <m/>
    <n v="38764.083333333299"/>
    <m/>
    <s v="Replace Only"/>
    <s v="Active"/>
    <s v="Jessica Cook"/>
    <s v="Jacobo Salazar"/>
    <s v="Residential - Channel"/>
    <s v="Schlage Residential Mechanical"/>
    <x v="0"/>
    <x v="0"/>
    <s v=""/>
    <s v="2026 / 02"/>
    <s v="Return / Replace / Scrap"/>
    <s v="Product"/>
  </r>
  <r>
    <x v="1"/>
    <s v="CAS6430558"/>
    <s v="Issue"/>
    <s v="Credit / Debit Request"/>
    <s v="Pricing Adjustment"/>
    <m/>
    <m/>
    <s v="Schlage Residential"/>
    <s v="Lock"/>
    <x v="1"/>
    <x v="0"/>
    <s v="QUOTE 1532971 NEEDED TO BE APPLIED, ORDER WAS INVOICED BEFORE PRICE CHANGE COULD BE MADE_x000a__x000a_LINE 1-QTY 8--LOCK.F58.CEN.622.134.KA4.C.48-180.2--NEW PRICE $45.78 EACH                             (($0.68 DIFFERENCE EACH))_x000a_LINE 2-QTY 8--LOCK.F59.LAT.622.12-322.10-115.134--NEW PRICE $22.93 EACH                               (($4.60 DIFFERENCE EACH))_x000a_LINE 3-QTY 120--LOCK.B60.N.619.12-321.10-116.134.KA4.C.48-180.2--NEW PRICE $14.18 EACH     (($1.55 DIFFERENCE EACH))_x000a_LINE 4-QTY 200--LOCK.B60.N.622.12-321.10-116.134.KA4.C.48-180.2--NEW PRICE $14.18 EACH     (($1.55 DIFFERENCE EACH))_x000a_LINE 5-QTY 80--LOCK.F10.LAT.622.16-080.10-027.134--NEW PRICE $12.42 EACH                             (($2.08 DIFFERENCE EACH))_x000a_LINE 6-QTY 8--LOCK.F10.LAT.622.COL..16-080.10-027.134--NEW PRICE $17.67 EACH                       (($0.76 DIFFERENCE EACH))_x000a_LINE 7-QTY 5--LOCK.F170.LAT.622.134--NEW PRICE $5.29 EACH                                                       (($2.08 DIFFERENCE EACH))_x000a__x000a_------------------_x000a_CUSTOMER REQUESTING QUOTE CHANGE ON PO 82554_x000a_OLD QUOTE--1601940_x000a_NEW QUOTE TO APPLY--1532971_x000a_******************_x000a_DENIED--FACTORY NOTED THAT ORDER HAS BEEN SHIPPED SO QUOTE CANNOT BE CHANGED--1/27/26_x000a_----------_x000a_PO IN QUESTION--82554--USING QUOTE 1601940_x000a_CUSTOMER WANTING TO COMPARE PRICING TO POs 82281 &amp; 82187--THEY HAVE QUOTE 1532971_x000a_******_x000a_Would you please double-check the pricing on this order? There are several line items priced higher than what we have previously paid. For example, line two should be $22.93, consistent with the pricing on PO 82281 and PO 82187._x000a__x000a_ _x000a__x000a_I understand there is a price increase scheduled to take effect in February; however, that increase should not apply to this quote. Please reach back out with an updated acknowledgement or clarification on the increase. Thanks."/>
    <x v="1"/>
    <s v="14254543"/>
    <s v="82554"/>
    <s v="8144276"/>
    <n v="7"/>
    <s v="Schlage Residential"/>
    <s v="Lock"/>
    <s v="F Handleset"/>
    <s v="Ensenada"/>
    <n v="5"/>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s v="Customer"/>
    <m/>
    <m/>
    <m/>
    <m/>
    <m/>
    <n v="46051.791666666701"/>
    <m/>
    <m/>
    <s v="Credit Request"/>
    <s v="Resolved"/>
    <s v="Jessica Cook"/>
    <s v="Jessica Cook"/>
    <s v="Residential - Channel"/>
    <s v="Schlage Residential Mechanical"/>
    <x v="1"/>
    <x v="1"/>
    <s v=""/>
    <s v="2026 / 02"/>
    <s v="Credit / Debit Request"/>
    <s v="Customer"/>
  </r>
  <r>
    <x v="1"/>
    <s v="CAS6430558"/>
    <s v="Issue"/>
    <s v="Credit / Debit Request"/>
    <s v="Pricing Adjustment"/>
    <m/>
    <m/>
    <s v="Schlage Residential"/>
    <s v="Lock"/>
    <x v="1"/>
    <x v="0"/>
    <s v="QUOTE 1532971 NEEDED TO BE APPLIED, ORDER WAS INVOICED BEFORE PRICE CHANGE COULD BE MADE_x000a__x000a_LINE 1-QTY 8--LOCK.F58.CEN.622.134.KA4.C.48-180.2--NEW PRICE $45.78 EACH                             (($0.68 DIFFERENCE EACH))_x000a_LINE 2-QTY 8--LOCK.F59.LAT.622.12-322.10-115.134--NEW PRICE $22.93 EACH                               (($4.60 DIFFERENCE EACH))_x000a_LINE 3-QTY 120--LOCK.B60.N.619.12-321.10-116.134.KA4.C.48-180.2--NEW PRICE $14.18 EACH     (($1.55 DIFFERENCE EACH))_x000a_LINE 4-QTY 200--LOCK.B60.N.622.12-321.10-116.134.KA4.C.48-180.2--NEW PRICE $14.18 EACH     (($1.55 DIFFERENCE EACH))_x000a_LINE 5-QTY 80--LOCK.F10.LAT.622.16-080.10-027.134--NEW PRICE $12.42 EACH                             (($2.08 DIFFERENCE EACH))_x000a_LINE 6-QTY 8--LOCK.F10.LAT.622.COL..16-080.10-027.134--NEW PRICE $17.67 EACH                       (($0.76 DIFFERENCE EACH))_x000a_LINE 7-QTY 5--LOCK.F170.LAT.622.134--NEW PRICE $5.29 EACH                                                       (($2.08 DIFFERENCE EACH))_x000a__x000a_------------------_x000a_CUSTOMER REQUESTING QUOTE CHANGE ON PO 82554_x000a_OLD QUOTE--1601940_x000a_NEW QUOTE TO APPLY--1532971_x000a_******************_x000a_DENIED--FACTORY NOTED THAT ORDER HAS BEEN SHIPPED SO QUOTE CANNOT BE CHANGED--1/27/26_x000a_----------_x000a_PO IN QUESTION--82554--USING QUOTE 1601940_x000a_CUSTOMER WANTING TO COMPARE PRICING TO POs 82281 &amp; 82187--THEY HAVE QUOTE 1532971_x000a_******_x000a_Would you please double-check the pricing on this order? There are several line items priced higher than what we have previously paid. For example, line two should be $22.93, consistent with the pricing on PO 82281 and PO 82187._x000a__x000a_ _x000a__x000a_I understand there is a price increase scheduled to take effect in February; however, that increase should not apply to this quote. Please reach back out with an updated acknowledgement or clarification on the increase. Thanks."/>
    <x v="1"/>
    <s v="14254543"/>
    <s v="82554"/>
    <s v="8144276"/>
    <n v="6"/>
    <s v="Schlage Residential"/>
    <s v="Lock"/>
    <s v="F Handleset"/>
    <s v="Ensenada"/>
    <n v="8"/>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s v="Customer"/>
    <m/>
    <m/>
    <m/>
    <m/>
    <m/>
    <n v="46051.791666666701"/>
    <m/>
    <m/>
    <s v="Credit Request"/>
    <s v="Resolved"/>
    <s v="Jessica Cook"/>
    <s v="Jessica Cook"/>
    <s v="Residential - Channel"/>
    <s v="Schlage Residential Mechanical"/>
    <x v="1"/>
    <x v="1"/>
    <s v=""/>
    <s v="2026 / 02"/>
    <s v="Credit / Debit Request"/>
    <s v="Customer"/>
  </r>
  <r>
    <x v="1"/>
    <s v="CAS6430558"/>
    <s v="Issue"/>
    <s v="Credit / Debit Request"/>
    <s v="Pricing Adjustment"/>
    <m/>
    <m/>
    <s v="Schlage Residential"/>
    <s v="Lock"/>
    <x v="1"/>
    <x v="0"/>
    <s v="QUOTE 1532971 NEEDED TO BE APPLIED, ORDER WAS INVOICED BEFORE PRICE CHANGE COULD BE MADE_x000a__x000a_LINE 1-QTY 8--LOCK.F58.CEN.622.134.KA4.C.48-180.2--NEW PRICE $45.78 EACH                             (($0.68 DIFFERENCE EACH))_x000a_LINE 2-QTY 8--LOCK.F59.LAT.622.12-322.10-115.134--NEW PRICE $22.93 EACH                               (($4.60 DIFFERENCE EACH))_x000a_LINE 3-QTY 120--LOCK.B60.N.619.12-321.10-116.134.KA4.C.48-180.2--NEW PRICE $14.18 EACH     (($1.55 DIFFERENCE EACH))_x000a_LINE 4-QTY 200--LOCK.B60.N.622.12-321.10-116.134.KA4.C.48-180.2--NEW PRICE $14.18 EACH     (($1.55 DIFFERENCE EACH))_x000a_LINE 5-QTY 80--LOCK.F10.LAT.622.16-080.10-027.134--NEW PRICE $12.42 EACH                             (($2.08 DIFFERENCE EACH))_x000a_LINE 6-QTY 8--LOCK.F10.LAT.622.COL..16-080.10-027.134--NEW PRICE $17.67 EACH                       (($0.76 DIFFERENCE EACH))_x000a_LINE 7-QTY 5--LOCK.F170.LAT.622.134--NEW PRICE $5.29 EACH                                                       (($2.08 DIFFERENCE EACH))_x000a__x000a_------------------_x000a_CUSTOMER REQUESTING QUOTE CHANGE ON PO 82554_x000a_OLD QUOTE--1601940_x000a_NEW QUOTE TO APPLY--1532971_x000a_******************_x000a_DENIED--FACTORY NOTED THAT ORDER HAS BEEN SHIPPED SO QUOTE CANNOT BE CHANGED--1/27/26_x000a_----------_x000a_PO IN QUESTION--82554--USING QUOTE 1601940_x000a_CUSTOMER WANTING TO COMPARE PRICING TO POs 82281 &amp; 82187--THEY HAVE QUOTE 1532971_x000a_******_x000a_Would you please double-check the pricing on this order? There are several line items priced higher than what we have previously paid. For example, line two should be $22.93, consistent with the pricing on PO 82281 and PO 82187._x000a__x000a_ _x000a__x000a_I understand there is a price increase scheduled to take effect in February; however, that increase should not apply to this quote. Please reach back out with an updated acknowledgement or clarification on the increase. Thanks."/>
    <x v="1"/>
    <s v="14254543"/>
    <s v="82554"/>
    <s v="8144276"/>
    <n v="5"/>
    <s v="Schlage Residential"/>
    <s v="Lock"/>
    <s v="F Handleset"/>
    <s v="Ensenada"/>
    <n v="80"/>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s v="Customer"/>
    <m/>
    <m/>
    <m/>
    <m/>
    <m/>
    <n v="46051.791666666701"/>
    <m/>
    <m/>
    <s v="Credit Request"/>
    <s v="Resolved"/>
    <s v="Jessica Cook"/>
    <s v="Jessica Cook"/>
    <s v="Residential - Channel"/>
    <s v="Schlage Residential Mechanical"/>
    <x v="1"/>
    <x v="1"/>
    <s v=""/>
    <s v="2026 / 02"/>
    <s v="Credit / Debit Request"/>
    <s v="Customer"/>
  </r>
  <r>
    <x v="1"/>
    <s v="CAS6430558"/>
    <s v="Issue"/>
    <s v="Credit / Debit Request"/>
    <s v="Pricing Adjustment"/>
    <m/>
    <m/>
    <s v="Schlage Residential"/>
    <s v="Lock"/>
    <x v="1"/>
    <x v="0"/>
    <s v="QUOTE 1532971 NEEDED TO BE APPLIED, ORDER WAS INVOICED BEFORE PRICE CHANGE COULD BE MADE_x000a__x000a_LINE 1-QTY 8--LOCK.F58.CEN.622.134.KA4.C.48-180.2--NEW PRICE $45.78 EACH                             (($0.68 DIFFERENCE EACH))_x000a_LINE 2-QTY 8--LOCK.F59.LAT.622.12-322.10-115.134--NEW PRICE $22.93 EACH                               (($4.60 DIFFERENCE EACH))_x000a_LINE 3-QTY 120--LOCK.B60.N.619.12-321.10-116.134.KA4.C.48-180.2--NEW PRICE $14.18 EACH     (($1.55 DIFFERENCE EACH))_x000a_LINE 4-QTY 200--LOCK.B60.N.622.12-321.10-116.134.KA4.C.48-180.2--NEW PRICE $14.18 EACH     (($1.55 DIFFERENCE EACH))_x000a_LINE 5-QTY 80--LOCK.F10.LAT.622.16-080.10-027.134--NEW PRICE $12.42 EACH                             (($2.08 DIFFERENCE EACH))_x000a_LINE 6-QTY 8--LOCK.F10.LAT.622.COL..16-080.10-027.134--NEW PRICE $17.67 EACH                       (($0.76 DIFFERENCE EACH))_x000a_LINE 7-QTY 5--LOCK.F170.LAT.622.134--NEW PRICE $5.29 EACH                                                       (($2.08 DIFFERENCE EACH))_x000a__x000a_------------------_x000a_CUSTOMER REQUESTING QUOTE CHANGE ON PO 82554_x000a_OLD QUOTE--1601940_x000a_NEW QUOTE TO APPLY--1532971_x000a_******************_x000a_DENIED--FACTORY NOTED THAT ORDER HAS BEEN SHIPPED SO QUOTE CANNOT BE CHANGED--1/27/26_x000a_----------_x000a_PO IN QUESTION--82554--USING QUOTE 1601940_x000a_CUSTOMER WANTING TO COMPARE PRICING TO POs 82281 &amp; 82187--THEY HAVE QUOTE 1532971_x000a_******_x000a_Would you please double-check the pricing on this order? There are several line items priced higher than what we have previously paid. For example, line two should be $22.93, consistent with the pricing on PO 82281 and PO 82187._x000a__x000a_ _x000a__x000a_I understand there is a price increase scheduled to take effect in February; however, that increase should not apply to this quote. Please reach back out with an updated acknowledgement or clarification on the increase. Thanks."/>
    <x v="1"/>
    <s v="14254543"/>
    <s v="82554"/>
    <s v="8144276"/>
    <n v="4"/>
    <s v="Schlage Residential"/>
    <s v="Lock"/>
    <s v="B"/>
    <s v="Ensenada"/>
    <n v="200"/>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s v="Customer"/>
    <m/>
    <m/>
    <m/>
    <m/>
    <m/>
    <n v="46051.791666666701"/>
    <m/>
    <m/>
    <s v="Credit Request"/>
    <s v="Resolved"/>
    <s v="Jessica Cook"/>
    <s v="Jessica Cook"/>
    <s v="Residential - Channel"/>
    <s v="Schlage Residential Mechanical"/>
    <x v="1"/>
    <x v="1"/>
    <s v=""/>
    <s v="2026 / 02"/>
    <s v="Credit / Debit Request"/>
    <s v="Customer"/>
  </r>
  <r>
    <x v="1"/>
    <s v="CAS6430558"/>
    <s v="Issue"/>
    <s v="Credit / Debit Request"/>
    <s v="Pricing Adjustment"/>
    <m/>
    <m/>
    <s v="Schlage Residential"/>
    <s v="Lock"/>
    <x v="1"/>
    <x v="0"/>
    <s v="QUOTE 1532971 NEEDED TO BE APPLIED, ORDER WAS INVOICED BEFORE PRICE CHANGE COULD BE MADE_x000a__x000a_LINE 1-QTY 8--LOCK.F58.CEN.622.134.KA4.C.48-180.2--NEW PRICE $45.78 EACH                             (($0.68 DIFFERENCE EACH))_x000a_LINE 2-QTY 8--LOCK.F59.LAT.622.12-322.10-115.134--NEW PRICE $22.93 EACH                               (($4.60 DIFFERENCE EACH))_x000a_LINE 3-QTY 120--LOCK.B60.N.619.12-321.10-116.134.KA4.C.48-180.2--NEW PRICE $14.18 EACH     (($1.55 DIFFERENCE EACH))_x000a_LINE 4-QTY 200--LOCK.B60.N.622.12-321.10-116.134.KA4.C.48-180.2--NEW PRICE $14.18 EACH     (($1.55 DIFFERENCE EACH))_x000a_LINE 5-QTY 80--LOCK.F10.LAT.622.16-080.10-027.134--NEW PRICE $12.42 EACH                             (($2.08 DIFFERENCE EACH))_x000a_LINE 6-QTY 8--LOCK.F10.LAT.622.COL..16-080.10-027.134--NEW PRICE $17.67 EACH                       (($0.76 DIFFERENCE EACH))_x000a_LINE 7-QTY 5--LOCK.F170.LAT.622.134--NEW PRICE $5.29 EACH                                                       (($2.08 DIFFERENCE EACH))_x000a__x000a_------------------_x000a_CUSTOMER REQUESTING QUOTE CHANGE ON PO 82554_x000a_OLD QUOTE--1601940_x000a_NEW QUOTE TO APPLY--1532971_x000a_******************_x000a_DENIED--FACTORY NOTED THAT ORDER HAS BEEN SHIPPED SO QUOTE CANNOT BE CHANGED--1/27/26_x000a_----------_x000a_PO IN QUESTION--82554--USING QUOTE 1601940_x000a_CUSTOMER WANTING TO COMPARE PRICING TO POs 82281 &amp; 82187--THEY HAVE QUOTE 1532971_x000a_******_x000a_Would you please double-check the pricing on this order? There are several line items priced higher than what we have previously paid. For example, line two should be $22.93, consistent with the pricing on PO 82281 and PO 82187._x000a__x000a_ _x000a__x000a_I understand there is a price increase scheduled to take effect in February; however, that increase should not apply to this quote. Please reach back out with an updated acknowledgement or clarification on the increase. Thanks."/>
    <x v="1"/>
    <s v="14254543"/>
    <s v="82554"/>
    <s v="8144276"/>
    <n v="3"/>
    <s v="Schlage Residential"/>
    <s v="Lock"/>
    <s v="B"/>
    <s v="Ensenada"/>
    <n v="120"/>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s v="Customer"/>
    <m/>
    <m/>
    <m/>
    <m/>
    <m/>
    <n v="46051.791666666701"/>
    <m/>
    <m/>
    <s v="Credit Request"/>
    <s v="Resolved"/>
    <s v="Jessica Cook"/>
    <s v="Jessica Cook"/>
    <s v="Residential - Channel"/>
    <s v="Schlage Residential Mechanical"/>
    <x v="1"/>
    <x v="1"/>
    <s v=""/>
    <s v="2026 / 02"/>
    <s v="Credit / Debit Request"/>
    <s v="Customer"/>
  </r>
  <r>
    <x v="1"/>
    <s v="CAS6430558"/>
    <s v="Issue"/>
    <s v="Credit / Debit Request"/>
    <s v="Pricing Adjustment"/>
    <m/>
    <m/>
    <s v="Schlage Residential"/>
    <s v="Lock"/>
    <x v="1"/>
    <x v="0"/>
    <s v="QUOTE 1532971 NEEDED TO BE APPLIED, ORDER WAS INVOICED BEFORE PRICE CHANGE COULD BE MADE_x000a__x000a_LINE 1-QTY 8--LOCK.F58.CEN.622.134.KA4.C.48-180.2--NEW PRICE $45.78 EACH                             (($0.68 DIFFERENCE EACH))_x000a_LINE 2-QTY 8--LOCK.F59.LAT.622.12-322.10-115.134--NEW PRICE $22.93 EACH                               (($4.60 DIFFERENCE EACH))_x000a_LINE 3-QTY 120--LOCK.B60.N.619.12-321.10-116.134.KA4.C.48-180.2--NEW PRICE $14.18 EACH     (($1.55 DIFFERENCE EACH))_x000a_LINE 4-QTY 200--LOCK.B60.N.622.12-321.10-116.134.KA4.C.48-180.2--NEW PRICE $14.18 EACH     (($1.55 DIFFERENCE EACH))_x000a_LINE 5-QTY 80--LOCK.F10.LAT.622.16-080.10-027.134--NEW PRICE $12.42 EACH                             (($2.08 DIFFERENCE EACH))_x000a_LINE 6-QTY 8--LOCK.F10.LAT.622.COL..16-080.10-027.134--NEW PRICE $17.67 EACH                       (($0.76 DIFFERENCE EACH))_x000a_LINE 7-QTY 5--LOCK.F170.LAT.622.134--NEW PRICE $5.29 EACH                                                       (($2.08 DIFFERENCE EACH))_x000a__x000a_------------------_x000a_CUSTOMER REQUESTING QUOTE CHANGE ON PO 82554_x000a_OLD QUOTE--1601940_x000a_NEW QUOTE TO APPLY--1532971_x000a_******************_x000a_DENIED--FACTORY NOTED THAT ORDER HAS BEEN SHIPPED SO QUOTE CANNOT BE CHANGED--1/27/26_x000a_----------_x000a_PO IN QUESTION--82554--USING QUOTE 1601940_x000a_CUSTOMER WANTING TO COMPARE PRICING TO POs 82281 &amp; 82187--THEY HAVE QUOTE 1532971_x000a_******_x000a_Would you please double-check the pricing on this order? There are several line items priced higher than what we have previously paid. For example, line two should be $22.93, consistent with the pricing on PO 82281 and PO 82187._x000a__x000a_ _x000a__x000a_I understand there is a price increase scheduled to take effect in February; however, that increase should not apply to this quote. Please reach back out with an updated acknowledgement or clarification on the increase. Thanks."/>
    <x v="1"/>
    <s v="14254543"/>
    <s v="82554"/>
    <s v="8144276"/>
    <n v="2"/>
    <s v="Schlage Residential"/>
    <s v="Lock"/>
    <s v="F Handleset"/>
    <s v="Ensenada"/>
    <n v="8"/>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s v="Customer"/>
    <m/>
    <m/>
    <m/>
    <m/>
    <m/>
    <n v="46051.791666666701"/>
    <m/>
    <m/>
    <s v="Credit Request"/>
    <s v="Resolved"/>
    <s v="Jessica Cook"/>
    <s v="Jessica Cook"/>
    <s v="Residential - Channel"/>
    <s v="Schlage Residential Mechanical"/>
    <x v="1"/>
    <x v="1"/>
    <s v=""/>
    <s v="2026 / 02"/>
    <s v="Credit / Debit Request"/>
    <s v="Customer"/>
  </r>
  <r>
    <x v="1"/>
    <s v="CAS6430558"/>
    <s v="Issue"/>
    <s v="Credit / Debit Request"/>
    <s v="Pricing Adjustment"/>
    <m/>
    <m/>
    <s v="Schlage Residential"/>
    <s v="Lock"/>
    <x v="1"/>
    <x v="0"/>
    <s v="QUOTE 1532971 NEEDED TO BE APPLIED, ORDER WAS INVOICED BEFORE PRICE CHANGE COULD BE MADE_x000a__x000a_LINE 1-QTY 8--LOCK.F58.CEN.622.134.KA4.C.48-180.2--NEW PRICE $45.78 EACH                             (($0.68 DIFFERENCE EACH))_x000a_LINE 2-QTY 8--LOCK.F59.LAT.622.12-322.10-115.134--NEW PRICE $22.93 EACH                               (($4.60 DIFFERENCE EACH))_x000a_LINE 3-QTY 120--LOCK.B60.N.619.12-321.10-116.134.KA4.C.48-180.2--NEW PRICE $14.18 EACH     (($1.55 DIFFERENCE EACH))_x000a_LINE 4-QTY 200--LOCK.B60.N.622.12-321.10-116.134.KA4.C.48-180.2--NEW PRICE $14.18 EACH     (($1.55 DIFFERENCE EACH))_x000a_LINE 5-QTY 80--LOCK.F10.LAT.622.16-080.10-027.134--NEW PRICE $12.42 EACH                             (($2.08 DIFFERENCE EACH))_x000a_LINE 6-QTY 8--LOCK.F10.LAT.622.COL..16-080.10-027.134--NEW PRICE $17.67 EACH                       (($0.76 DIFFERENCE EACH))_x000a_LINE 7-QTY 5--LOCK.F170.LAT.622.134--NEW PRICE $5.29 EACH                                                       (($2.08 DIFFERENCE EACH))_x000a__x000a_------------------_x000a_CUSTOMER REQUESTING QUOTE CHANGE ON PO 82554_x000a_OLD QUOTE--1601940_x000a_NEW QUOTE TO APPLY--1532971_x000a_******************_x000a_DENIED--FACTORY NOTED THAT ORDER HAS BEEN SHIPPED SO QUOTE CANNOT BE CHANGED--1/27/26_x000a_----------_x000a_PO IN QUESTION--82554--USING QUOTE 1601940_x000a_CUSTOMER WANTING TO COMPARE PRICING TO POs 82281 &amp; 82187--THEY HAVE QUOTE 1532971_x000a_******_x000a_Would you please double-check the pricing on this order? There are several line items priced higher than what we have previously paid. For example, line two should be $22.93, consistent with the pricing on PO 82281 and PO 82187._x000a__x000a_ _x000a__x000a_I understand there is a price increase scheduled to take effect in February; however, that increase should not apply to this quote. Please reach back out with an updated acknowledgement or clarification on the increase. Thanks."/>
    <x v="1"/>
    <s v="14254543"/>
    <s v="82554"/>
    <s v="8144276"/>
    <n v="1"/>
    <s v="Schlage Residential"/>
    <s v="Lock"/>
    <s v="F Handleset"/>
    <s v="Ensenada"/>
    <n v="8"/>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s v="Customer"/>
    <m/>
    <m/>
    <m/>
    <m/>
    <m/>
    <n v="46051.791666666701"/>
    <m/>
    <m/>
    <s v="Credit Request"/>
    <s v="Resolved"/>
    <s v="Jessica Cook"/>
    <s v="Jessica Cook"/>
    <s v="Residential - Channel"/>
    <s v="Schlage Residential Mechanical"/>
    <x v="1"/>
    <x v="1"/>
    <s v=""/>
    <s v="2026 / 02"/>
    <s v="Credit / Debit Request"/>
    <s v="Customer"/>
  </r>
  <r>
    <x v="2"/>
    <s v="CAS6412962"/>
    <s v="Issue"/>
    <s v="Return / Replace / Scrap"/>
    <s v="Defective Product"/>
    <m/>
    <s v="Out of Box"/>
    <s v="Schlage Residential"/>
    <s v="Lock"/>
    <x v="1"/>
    <x v="0"/>
    <s v="NC RPL- ARRIVED DAMAGED/SCRATCHED_x000a_LINE 14 - 194555204539 SCH LOCK.F94.SAC.716.CAM..LH.134 QTY 1_x000a__x000a_SHIP TO: 870009_x000a_80 4TH STREET_x000a_HONESDALE, PA 18431_x000a_-------------------------------------------------------------------------------------------------------_x000a_Good Afternoon,_x000a__x000a_We received item F94SAC716CAMLH damaged with scratches on the lever. May we please have a no charge replacement sent out?"/>
    <x v="2"/>
    <s v="14251451"/>
    <s v="5297250"/>
    <s v="8138587"/>
    <n v="14"/>
    <s v="Schlage Residential"/>
    <s v="Lock"/>
    <s v="F Handleset"/>
    <s v="Ensenada"/>
    <n v="1"/>
    <s v="0071033~Appearance / Finish|1040~Estetica / Finitura|3082~Estética / Acabado|1036~Apparence/Finition"/>
    <s v="0491033~Dented / Scratches|1040~Ammaccato/graffiato|3082~Abollado/rayado|1036~Bosselé / rayé"/>
    <m/>
    <s v="Product"/>
    <m/>
    <s v="194555204539"/>
    <s v="F94"/>
    <m/>
    <m/>
    <n v="46044.791666666701"/>
    <m/>
    <m/>
    <s v="Replace Only"/>
    <s v="Resolved"/>
    <s v="Erika Harris"/>
    <s v="Erika Harris"/>
    <s v="Residential - Channel"/>
    <s v="Schlage Residential Mechanical"/>
    <x v="2"/>
    <x v="2"/>
    <s v=""/>
    <s v="2026 / 02"/>
    <s v="Return / Replace / Scrap"/>
    <s v="Product"/>
  </r>
  <r>
    <x v="3"/>
    <s v="CAS6409615"/>
    <s v="Issue"/>
    <s v="Return / Replace / Scrap"/>
    <s v="Shipping"/>
    <m/>
    <m/>
    <s v="Schlage Residential"/>
    <s v="Lock"/>
    <x v="2"/>
    <x v="0"/>
    <s v="NC RPL - SHORTAGE_x000a_LINE 1 - QTY 4 - LOCK.F40.LAT.622.COL..16-080.10-027.134_x000a_LINE 2 - QTY 3 - LOCK.F10.LAT.622.COL..16-080.10-027.134_x000a__x000a_We are missing (4) F40.LAT.622.COL as well as (3) F10.LAT.622.COL from this order._x000a_Please have these shipped to us as soon as possible._x000a__x000a_UPS 1Z9W01V60301306152_x000a_1 of 3 Piece Shipment_x000a_Delivered On_x000a_Thursday, January 22 at 9:57 A.M. at Dock_x000a_Delivered To_x000a_RALEIGH, NC US_x000a_Received By:_x000a_HASKELL_x000a__x000a_UPS 1Z9W01V60314785763_x000a_1 of 3 Piece Shipment_x000a_Delivered On_x000a_Thursday, January 22 at 9:57 A.M. at Dock_x000a_Delivered To_x000a_RALEIGH, NC US_x000a_Received By:_x000a_HASKELL_x000a__x000a_UPS 1Z9W01V60316436949_x000a_1 of 3 Piece Shipment_x000a_Delivered On_x000a_Thursday, January 22 at 9:57 A.M. at Dock_x000a_Delivered To_x000a_RALEIGH, NC US_x000a_Received By:_x000a_HASKELL"/>
    <x v="3"/>
    <s v="14246670"/>
    <s v="PO500375-HRA"/>
    <s v="8128956"/>
    <n v="2"/>
    <s v="Schlage Residential"/>
    <s v="Lock"/>
    <s v="F Knob/Lever"/>
    <s v="Ensenada"/>
    <n v="3"/>
    <s v="Lost in Transit/Wrong Address"/>
    <s v="1513082~Extraviado en tránsito - Transportista|1040~Smarrimento in transito - Vettore|1036~Perdu en transit - Transporteur|1033~Lost in Transit - Carrier"/>
    <m/>
    <s v="Carrier"/>
    <m/>
    <s v="043156035014"/>
    <s v="F40"/>
    <m/>
    <m/>
    <n v="46033.791666666701"/>
    <m/>
    <m/>
    <s v="Replace Only"/>
    <s v="Resolved"/>
    <s v="Katie Ramsey"/>
    <s v="Katie Ramsey"/>
    <s v="Residential - Channel"/>
    <s v="Schlage Residential Mechanical"/>
    <x v="3"/>
    <x v="3"/>
    <s v=""/>
    <s v="2026 / 02"/>
    <s v="Return / Replace / Scrap"/>
    <s v="Product"/>
  </r>
  <r>
    <x v="3"/>
    <s v="CAS6409615"/>
    <s v="Issue"/>
    <s v="Return / Replace / Scrap"/>
    <s v="Shipping"/>
    <m/>
    <m/>
    <s v="Schlage Residential"/>
    <s v="Lock"/>
    <x v="2"/>
    <x v="0"/>
    <s v="NC RPL - SHORTAGE_x000a_LINE 1 - QTY 4 - LOCK.F40.LAT.622.COL..16-080.10-027.134_x000a_LINE 2 - QTY 3 - LOCK.F10.LAT.622.COL..16-080.10-027.134_x000a__x000a_We are missing (4) F40.LAT.622.COL as well as (3) F10.LAT.622.COL from this order._x000a_Please have these shipped to us as soon as possible._x000a__x000a_UPS 1Z9W01V60301306152_x000a_1 of 3 Piece Shipment_x000a_Delivered On_x000a_Thursday, January 22 at 9:57 A.M. at Dock_x000a_Delivered To_x000a_RALEIGH, NC US_x000a_Received By:_x000a_HASKELL_x000a__x000a_UPS 1Z9W01V60314785763_x000a_1 of 3 Piece Shipment_x000a_Delivered On_x000a_Thursday, January 22 at 9:57 A.M. at Dock_x000a_Delivered To_x000a_RALEIGH, NC US_x000a_Received By:_x000a_HASKELL_x000a__x000a_UPS 1Z9W01V60316436949_x000a_1 of 3 Piece Shipment_x000a_Delivered On_x000a_Thursday, January 22 at 9:57 A.M. at Dock_x000a_Delivered To_x000a_RALEIGH, NC US_x000a_Received By:_x000a_HASKELL"/>
    <x v="3"/>
    <s v="14246670"/>
    <s v="PO500375-HRA"/>
    <s v="8128956"/>
    <n v="1"/>
    <s v="Schlage Residential"/>
    <s v="Lock"/>
    <s v="F Knob/Lever"/>
    <s v="Ensenada"/>
    <n v="4"/>
    <s v="Lost in Transit/Wrong Address"/>
    <s v="1513082~Extraviado en tránsito - Transportista|1040~Smarrimento in transito - Vettore|1036~Perdu en transit - Transporteur|1033~Lost in Transit - Carrier"/>
    <m/>
    <s v="Carrier"/>
    <m/>
    <s v="194555031661"/>
    <s v="F40"/>
    <m/>
    <m/>
    <n v="46064.791666666701"/>
    <m/>
    <m/>
    <s v="Replace Only"/>
    <s v="Resolved"/>
    <s v="Katie Ramsey"/>
    <s v="Katie Ramsey"/>
    <s v="Residential - Channel"/>
    <s v="Schlage Residential Mechanical"/>
    <x v="3"/>
    <x v="3"/>
    <s v=""/>
    <s v="2026 / 02"/>
    <s v="Return / Replace / Scrap"/>
    <s v="Product"/>
  </r>
  <r>
    <x v="4"/>
    <s v="CAS6409513"/>
    <s v="Issue"/>
    <s v="Return / Replace / Scrap"/>
    <s v="Shipping"/>
    <m/>
    <m/>
    <s v="Schlage Residential"/>
    <s v="Lock"/>
    <x v="2"/>
    <x v="0"/>
    <s v="NC RPL - SHORT SHIPMENT_x000a_LINE 3 - QTY 8 - LOCK.F40.LAT.622.COL..16-080.10-027.134_x000a__x000a_We are missing (8) F40.LAT.622.COL from this order._x000a_Please send these to us, ASAP._x000a_I have attached the packing slips that were provided to me by the warehouse after checking in this inventory. _x000a_Lock.F170.LAT.622.COL was received in full _x000a_Lock.F40.LAT.622.COL was missing 8 _x000a_Lock F10.LAT.622.COL was received in full _x000a__x000a_UPS 1Z9W01V60305123351_x000a_1 of 2 Piece Shipment_x000a_Delivered On_x000a_Thursday, January 29 at 12:28 P.M. at Dock_x000a_Delivered To_x000a_RALEIGH, NC US_x000a_Received By:_x000a_HASKELL_x000a__x000a_UPS 1Z9W01V60314730964_x000a_1 of 2 Piece Shipment_x000a_Delivered On_x000a_Thursday, January 29 at 12:28 P.M. at Dock_x000a_Delivered To_x000a_RALEIGH, NC US_x000a_Received By:_x000a_HASKELL"/>
    <x v="3"/>
    <s v="14249204"/>
    <s v="PO501100-HRA"/>
    <s v="8135427"/>
    <n v="3"/>
    <s v="Schlage Residential"/>
    <s v="Lock"/>
    <s v="F Knob/Lever"/>
    <s v="Ensenada"/>
    <n v="8"/>
    <s v="Lost in Transit/Wrong Address"/>
    <s v="1513082~Extraviado en tránsito - Transportista|1040~Smarrimento in transito - Vettore|1036~Perdu en transit - Transporteur|1033~Lost in Transit - Carrier"/>
    <m/>
    <s v="Carrier"/>
    <m/>
    <s v="194555031661"/>
    <s v="F40"/>
    <m/>
    <m/>
    <n v="46071.791666666701"/>
    <m/>
    <m/>
    <s v="Replace Only"/>
    <s v="Resolved"/>
    <s v="Katie Ramsey"/>
    <s v="Katie Ramsey"/>
    <s v="Residential - Channel"/>
    <s v="Schlage Residential Mechanical"/>
    <x v="3"/>
    <x v="3"/>
    <s v=""/>
    <s v="2026 / 02"/>
    <s v="Return / Replace / Scrap"/>
    <s v="Product"/>
  </r>
  <r>
    <x v="5"/>
    <s v="CAS6452962"/>
    <s v="Issue"/>
    <s v="Credit / Debit Request"/>
    <s v="Material Debit"/>
    <m/>
    <m/>
    <s v="Schlage Residential"/>
    <s v="Lock"/>
    <x v="2"/>
    <x v="1"/>
    <s v="Debit for overage_x000a__x000a_LOCK.F10.LAT.622.16-080.10-027.134   QTY 8    23.86_x000a__x000a_2500 JORDAN ROAD SOUTH_x000a_Ft Payne, AL 35968"/>
    <x v="4"/>
    <s v="SO03266570"/>
    <s v="J533-3483"/>
    <s v="45706747"/>
    <m/>
    <s v="Schlage Residential"/>
    <s v="Lock"/>
    <s v="F Knob/Lever"/>
    <s v="Olathe"/>
    <n v="8"/>
    <s v="0641033~Allegion Shipped Incorrect Amount|1040~(Allegion) Spedito Valore/Q.tà Errato|3082~Allegion envió una cantidad incorrecta|1036~Allegion a expédié un montant incorrect"/>
    <s v="2251033~Overage|1036~Excédent|1040~Troppo Vecchio|3082~Exceso|1055~Geçkin"/>
    <m/>
    <s v="Shipping"/>
    <m/>
    <s v="LOCK.F10.LAT.622.16-080.10-027.134"/>
    <m/>
    <m/>
    <m/>
    <n v="46070.791666666701"/>
    <m/>
    <m/>
    <s v="Debit Request"/>
    <s v="Resolved"/>
    <s v="Lucresia James"/>
    <s v="Lucresia James"/>
    <s v="Residential - Channel"/>
    <s v="Schlage Residential Mechanical"/>
    <x v="4"/>
    <x v="4"/>
    <s v=""/>
    <s v="2026 / 02"/>
    <s v="Credit / Debit Request"/>
    <s v="Product"/>
  </r>
  <r>
    <x v="6"/>
    <s v="CAS6452901"/>
    <s v="Issue"/>
    <s v="Credit / Debit Request"/>
    <s v="Pricing Adjustment"/>
    <m/>
    <m/>
    <s v="Schlage Residential"/>
    <s v="Lock"/>
    <x v="2"/>
    <x v="1"/>
    <s v="Credit  for Internal Use Only Do Not Send to Ferguson._x000a__x000a__x000a_LOCK.F40.BWE.622.16-080.10-027.134  QTY 4   18.64_x000a_LOCK.F10.LAT.716.16-080.10-027.134    QTY 8    23.86_x000a__x000a_620 FAIRGROUND ROAD_x000a_Front Royal, VA 22630"/>
    <x v="4"/>
    <s v="SO03266730"/>
    <s v="J423-3745"/>
    <s v="45703122"/>
    <m/>
    <s v="Schlage Residential"/>
    <s v="Lock"/>
    <s v="F Knob/Lever"/>
    <s v="Olathe"/>
    <n v="8"/>
    <s v="0531033~Quote / Product Error|1040~Errore Offerta / Prodotto|3082~Oferta / error producto|1036~Erreur de devis / produit"/>
    <s v="0171033~Broken Package|1040~Collo Rotto|3082~Embalaje roto|1036~Emballage cassé"/>
    <m/>
    <s v="Sales"/>
    <m/>
    <s v="F10.LAT.716.16-080.10-027.134"/>
    <m/>
    <m/>
    <m/>
    <n v="46068.791666666701"/>
    <m/>
    <m/>
    <s v="Credit Request"/>
    <s v="Resolved"/>
    <s v="Lucresia James"/>
    <s v="Lucresia James"/>
    <s v="Residential - Channel"/>
    <s v="Schlage Residential Mechanical"/>
    <x v="5"/>
    <x v="5"/>
    <s v=""/>
    <s v="2026 / 02"/>
    <s v="Credit / Debit Request"/>
    <s v="Customer Care"/>
  </r>
  <r>
    <x v="6"/>
    <s v="CAS6452901"/>
    <s v="Issue"/>
    <s v="Credit / Debit Request"/>
    <s v="Pricing Adjustment"/>
    <m/>
    <m/>
    <s v="Schlage Residential"/>
    <s v="Lock"/>
    <x v="2"/>
    <x v="1"/>
    <s v="Credit  for Internal Use Only Do Not Send to Ferguson._x000a__x000a__x000a_LOCK.F40.BWE.622.16-080.10-027.134  QTY 4   18.64_x000a_LOCK.F10.LAT.716.16-080.10-027.134    QTY 8    23.86_x000a__x000a_620 FAIRGROUND ROAD_x000a_Front Royal, VA 22630"/>
    <x v="4"/>
    <s v="SO03266730"/>
    <s v="J423-3745"/>
    <s v="45703122"/>
    <m/>
    <s v="Schlage Residential"/>
    <s v="Lock"/>
    <s v="F Knob/Lever"/>
    <s v="Olathe"/>
    <n v="4"/>
    <s v="0531033~Quote / Product Error|1040~Errore Offerta / Prodotto|3082~Oferta / error producto|1036~Erreur de devis / produit"/>
    <s v="0171033~Broken Package|1040~Collo Rotto|3082~Embalaje roto|1036~Emballage cassé"/>
    <m/>
    <s v="Sales"/>
    <m/>
    <s v="F40.BWE.622.16-080.10-027.134"/>
    <m/>
    <m/>
    <m/>
    <n v="46068.791666666701"/>
    <m/>
    <m/>
    <s v="Credit Request"/>
    <s v="Resolved"/>
    <s v="Lucresia James"/>
    <s v="Lucresia James"/>
    <s v="Residential - Channel"/>
    <s v="Schlage Residential Mechanical"/>
    <x v="5"/>
    <x v="5"/>
    <s v=""/>
    <s v="2026 / 02"/>
    <s v="Credit / Debit Request"/>
    <s v="Customer Care"/>
  </r>
  <r>
    <x v="7"/>
    <s v="CAS6422932"/>
    <s v="Issue"/>
    <s v="Return / Replace / Scrap"/>
    <s v="Incorrect/Missing Product"/>
    <m/>
    <m/>
    <s v="Schlage Residential"/>
    <s v="Lock"/>
    <x v="2"/>
    <x v="0"/>
    <s v="ORDERED INCORRECT SQUARE LATCHES, NEEDS REPLACEMENT FOR CUSTOMER WITH STANDARD ROUND CORNER LATCH_x000a_REPLACEMENT LATCHES:_x000a_LINE 1- LOCK.F51A.LAT.622.COL..16-207.10-025.134.KD.C.48-180.2- Rounded corner latch 16-086 KEYED LATCH QTY 2_x000a_LINES 2- LOCK.F80.LAT.622.COL..16-207.10-025.134.KD.C.48-180.2 -16-080 NON KEYED QTY 2_x000a_LINE 3-  LOCK.F10.LAT.622.COL..16-200.10-025.134 QTY 8 - 16-080 NON KEYED_x000a_LINE 4 - LOCK.F40.LAT.622.COL..16-200.10-025.134 QTY 2 - 16-080 NON KEYED_x000a_accidentally orders square corner latch_x000a__x000a_SHIP TO: 843683_x000a_6295 EDSALL RD STE 80_x000a_ALEXANDRIA, VA 22312"/>
    <x v="5"/>
    <s v="14235469"/>
    <s v="374280-006"/>
    <s v="8111140"/>
    <n v="4"/>
    <s v="Schlage Residential"/>
    <s v="Lock"/>
    <s v="F Knob/Lever"/>
    <s v="Ensenada"/>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s v="Customer"/>
    <m/>
    <s v="16-080"/>
    <m/>
    <m/>
    <m/>
    <n v="46009.791666666701"/>
    <m/>
    <m/>
    <s v="Replace Only"/>
    <s v="Resolved"/>
    <s v="Erika Harris"/>
    <s v="Erika Harris"/>
    <s v="Residential - Channel"/>
    <s v="Schlage Residential Mechanical"/>
    <x v="6"/>
    <x v="6"/>
    <s v=""/>
    <s v="2026 / 02"/>
    <s v="Return / Replace / Scrap"/>
    <s v="Customer"/>
  </r>
  <r>
    <x v="7"/>
    <s v="CAS6422932"/>
    <s v="Issue"/>
    <s v="Return / Replace / Scrap"/>
    <s v="Incorrect/Missing Product"/>
    <m/>
    <m/>
    <s v="Schlage Residential"/>
    <s v="Lock"/>
    <x v="2"/>
    <x v="0"/>
    <s v="ORDERED INCORRECT SQUARE LATCHES, NEEDS REPLACEMENT FOR CUSTOMER WITH STANDARD ROUND CORNER LATCH_x000a_REPLACEMENT LATCHES:_x000a_LINE 1- LOCK.F51A.LAT.622.COL..16-207.10-025.134.KD.C.48-180.2- Rounded corner latch 16-086 KEYED LATCH QTY 2_x000a_LINES 2- LOCK.F80.LAT.622.COL..16-207.10-025.134.KD.C.48-180.2 -16-080 NON KEYED QTY 2_x000a_LINE 3-  LOCK.F10.LAT.622.COL..16-200.10-025.134 QTY 8 - 16-080 NON KEYED_x000a_LINE 4 - LOCK.F40.LAT.622.COL..16-200.10-025.134 QTY 2 - 16-080 NON KEYED_x000a_accidentally orders square corner latch_x000a__x000a_SHIP TO: 843683_x000a_6295 EDSALL RD STE 80_x000a_ALEXANDRIA, VA 22312"/>
    <x v="5"/>
    <s v="14235469"/>
    <s v="374280-006"/>
    <s v="8111140"/>
    <n v="3"/>
    <s v="Schlage Residential"/>
    <s v="Lock"/>
    <s v="F Knob/Lever"/>
    <s v="Ensenada"/>
    <n v="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s v="Customer"/>
    <m/>
    <s v="16-080"/>
    <m/>
    <m/>
    <m/>
    <n v="46009.791666666701"/>
    <m/>
    <m/>
    <s v="Replace Only"/>
    <s v="Resolved"/>
    <s v="Erika Harris"/>
    <s v="Erika Harris"/>
    <s v="Residential - Channel"/>
    <s v="Schlage Residential Mechanical"/>
    <x v="6"/>
    <x v="6"/>
    <s v=""/>
    <s v="2026 / 02"/>
    <s v="Return / Replace / Scrap"/>
    <s v="Customer"/>
  </r>
  <r>
    <x v="7"/>
    <s v="CAS6422932"/>
    <s v="Issue"/>
    <s v="Return / Replace / Scrap"/>
    <s v="Incorrect/Missing Product"/>
    <m/>
    <m/>
    <s v="Schlage Residential"/>
    <s v="Lock"/>
    <x v="2"/>
    <x v="0"/>
    <s v="ORDERED INCORRECT SQUARE LATCHES, NEEDS REPLACEMENT FOR CUSTOMER WITH STANDARD ROUND CORNER LATCH_x000a_REPLACEMENT LATCHES:_x000a_LINE 1- LOCK.F51A.LAT.622.COL..16-207.10-025.134.KD.C.48-180.2- Rounded corner latch 16-086 KEYED LATCH QTY 2_x000a_LINES 2- LOCK.F80.LAT.622.COL..16-207.10-025.134.KD.C.48-180.2 -16-080 NON KEYED QTY 2_x000a_LINE 3-  LOCK.F10.LAT.622.COL..16-200.10-025.134 QTY 8 - 16-080 NON KEYED_x000a_LINE 4 - LOCK.F40.LAT.622.COL..16-200.10-025.134 QTY 2 - 16-080 NON KEYED_x000a_accidentally orders square corner latch_x000a__x000a_SHIP TO: 843683_x000a_6295 EDSALL RD STE 80_x000a_ALEXANDRIA, VA 22312"/>
    <x v="5"/>
    <s v="14235469"/>
    <s v="374280-006"/>
    <s v="8111140"/>
    <n v="2"/>
    <s v="Schlage Residential"/>
    <s v="Lock"/>
    <s v="F Knob/Lever"/>
    <s v="Ensenada"/>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s v="Customer"/>
    <m/>
    <s v="16-080"/>
    <m/>
    <m/>
    <m/>
    <n v="46009.791666666701"/>
    <m/>
    <m/>
    <s v="Replace Only"/>
    <s v="Resolved"/>
    <s v="Erika Harris"/>
    <s v="Erika Harris"/>
    <s v="Residential - Channel"/>
    <s v="Schlage Residential Mechanical"/>
    <x v="6"/>
    <x v="6"/>
    <s v=""/>
    <s v="2026 / 02"/>
    <s v="Return / Replace / Scrap"/>
    <s v="Customer"/>
  </r>
  <r>
    <x v="7"/>
    <s v="CAS6422932"/>
    <s v="Issue"/>
    <s v="Return / Replace / Scrap"/>
    <s v="Incorrect/Missing Product"/>
    <m/>
    <m/>
    <s v="Schlage Residential"/>
    <s v="Lock"/>
    <x v="2"/>
    <x v="0"/>
    <s v="ORDERED INCORRECT SQUARE LATCHES, NEEDS REPLACEMENT FOR CUSTOMER WITH STANDARD ROUND CORNER LATCH_x000a_REPLACEMENT LATCHES:_x000a_LINE 1- LOCK.F51A.LAT.622.COL..16-207.10-025.134.KD.C.48-180.2- Rounded corner latch 16-086 KEYED LATCH QTY 2_x000a_LINES 2- LOCK.F80.LAT.622.COL..16-207.10-025.134.KD.C.48-180.2 -16-080 NON KEYED QTY 2_x000a_LINE 3-  LOCK.F10.LAT.622.COL..16-200.10-025.134 QTY 8 - 16-080 NON KEYED_x000a_LINE 4 - LOCK.F40.LAT.622.COL..16-200.10-025.134 QTY 2 - 16-080 NON KEYED_x000a_accidentally orders square corner latch_x000a__x000a_SHIP TO: 843683_x000a_6295 EDSALL RD STE 80_x000a_ALEXANDRIA, VA 22312"/>
    <x v="5"/>
    <s v="14235469"/>
    <s v="374280-006"/>
    <s v="8111140"/>
    <n v="1"/>
    <s v="Schlage Residential"/>
    <s v="Lock"/>
    <s v="F Knob/Lever"/>
    <s v="Ensenada"/>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s v="Customer"/>
    <m/>
    <s v="16-086"/>
    <m/>
    <m/>
    <m/>
    <n v="46009.791666666701"/>
    <m/>
    <m/>
    <s v="Replace Only"/>
    <s v="Resolved"/>
    <s v="Erika Harris"/>
    <s v="Erika Harris"/>
    <s v="Residential - Channel"/>
    <s v="Schlage Residential Mechanical"/>
    <x v="6"/>
    <x v="6"/>
    <s v=""/>
    <s v="2026 / 02"/>
    <s v="Return / Replace / Scrap"/>
    <s v="Customer"/>
  </r>
  <r>
    <x v="8"/>
    <s v="CAS6441839"/>
    <s v="Issue"/>
    <s v="Credit / Debit Request"/>
    <s v="Pricing Adjustment"/>
    <m/>
    <m/>
    <s v="Schlage Residential"/>
    <s v="Lock"/>
    <x v="1"/>
    <x v="0"/>
    <s v="SHORT SHIP OCQ523297823/22 BOL DOCS RECEIVED BUT ACE DENIED REPAYMENT IN THE AMOUNT $232.11._x000a_ ACE SHORT SHIP ON INV 8054630.  CREDIT AMOUNT $232.11_x000a__x000a__x000a_DEDUCTION TAKEN ON DM# 490677 $232.11."/>
    <x v="6"/>
    <s v="14189845"/>
    <s v="TW4WU"/>
    <s v="8054630"/>
    <m/>
    <s v="Schlage Residential"/>
    <s v="Lock"/>
    <s v="F Handleset"/>
    <s v="Ensenada"/>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s v="Customer"/>
    <m/>
    <m/>
    <m/>
    <m/>
    <m/>
    <n v="45939.833333333299"/>
    <m/>
    <m/>
    <s v="Credit Request"/>
    <s v="Resolved"/>
    <s v="Pamela Franklin"/>
    <s v="Pamela Franklin"/>
    <s v="Commercial"/>
    <s v="Schlage Residential Mechanical"/>
    <x v="1"/>
    <x v="7"/>
    <s v=""/>
    <s v="2026 / 02"/>
    <s v="Credit / Debit Request"/>
    <s v="Customer"/>
  </r>
  <r>
    <x v="9"/>
    <s v="CAS6441793"/>
    <s v="Issue"/>
    <s v="Credit / Debit Request"/>
    <s v="Pricing Adjustment"/>
    <m/>
    <m/>
    <s v="Schlage Residential"/>
    <s v="Lock"/>
    <x v="1"/>
    <x v="0"/>
    <s v="SHORT SHIP OCQ0527191685/16 BOL DOCS RECEIVED BUT ACE DENIED REPAYMENT IN THE AMOUNT $554.64_x000a_ ACE SHORT SHIP ON INV 8078891.  CREDIT AMOUNT $554.64_x000a__x000a__x000a_DEDUCTION TAKEN ON DM# 490468 $554.64."/>
    <x v="6"/>
    <s v="14182072"/>
    <s v="S7VKU"/>
    <s v="8078891"/>
    <m/>
    <s v="Schlage Residential"/>
    <s v="Lock"/>
    <s v="F Handleset"/>
    <s v="Ensenada"/>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s v="Customer"/>
    <m/>
    <m/>
    <m/>
    <m/>
    <m/>
    <n v="45973.791666666701"/>
    <m/>
    <m/>
    <s v="Credit Request"/>
    <s v="Resolved"/>
    <s v="Pamela Franklin"/>
    <s v="Pamela Franklin"/>
    <s v="Residential - Channel"/>
    <s v="Schlage Residential Mechanical"/>
    <x v="1"/>
    <x v="1"/>
    <s v=""/>
    <s v="2026 / 02"/>
    <s v="Credit / Debit Request"/>
    <s v="Customer"/>
  </r>
  <r>
    <x v="10"/>
    <s v="CAS6451584"/>
    <s v="Issue"/>
    <s v="Return / Replace / Scrap"/>
    <s v="Incorrect/Missing Product"/>
    <m/>
    <m/>
    <s v="Schlage Residential"/>
    <s v="Lock"/>
    <x v="2"/>
    <x v="0"/>
    <s v="line 9 &amp; line 12 were not keyed alike in combos of 1 b60 &amp; 1 f51a (1-33)_x000a_LOCK.B60.N.CEN.619.12-321.10-116.134.KA.DETAIL.C.48-180.2_x000a_LOCK.F51A.ELA.619.CEN..16-126.10-027.134.KA.DETAIL.C.48-180.2_x000a__x000a_ALL ARE INSTALLED.  SEND LEVER CYLINDERS ONLY KEYED TO DEADBOLTS ON LINE 9 / QTY 33_x000a_REPLACE CYLINDERS ONLY FOR LINE 12, QTY 33_x000a__x000a_29-018 619_x000a_LINE 1, KEYCODE: 73367_x000a_2, KEYCODE:  57142_x000a_3, KEYCODE: 46003_x000a_4, KEYCODE: 18494_x000a_5, KEYCODE: 55794_x000a_6, KEYCODE: 54149_x000a_7, KEYCODE: 47047_x000a_8, KEYCODE: 75078_x000a_9, KEYCODE: 48765_x000a_10, KEYCODE: 34785  _x000a_11, KEYCODE: and so on matching the codes on line 9 (1 - 33)_x000a_12_x000a_13_x000a_14_x000a_15"/>
    <x v="7"/>
    <s v="14264543"/>
    <s v="698018"/>
    <s v="8160803"/>
    <n v="12"/>
    <s v="Schlage Residential"/>
    <s v="Lock"/>
    <s v="F Knob/Lever"/>
    <s v="Ensenada"/>
    <n v="33"/>
    <s v="0281033~Allegion Sent Incorrect Product / Part"/>
    <s v="9721033~Incorrect Product|1036~Produit incorrect|1040~Prodotto errato"/>
    <m/>
    <s v="Product"/>
    <m/>
    <m/>
    <m/>
    <m/>
    <m/>
    <n v="46063.791666666701"/>
    <m/>
    <m/>
    <s v="Replace Only"/>
    <s v="Resolved"/>
    <s v="Janelta Crawford"/>
    <s v="Janelta Crawford"/>
    <s v="Residential - Channel"/>
    <s v="Schlage Residential Mechanical"/>
    <x v="7"/>
    <x v="8"/>
    <s v=""/>
    <s v="2026 / 02"/>
    <s v="Return / Replace / Scrap"/>
    <s v="Product"/>
  </r>
  <r>
    <x v="11"/>
    <s v="CAS6444859"/>
    <s v="Issue"/>
    <s v="Return / Replace / Scrap"/>
    <s v="Shipping"/>
    <m/>
    <m/>
    <s v="Schlage Residential"/>
    <s v="Lock"/>
    <x v="2"/>
    <x v="1"/>
    <s v="Freight located - being returned free astray Per Bruce needing zero cost RMA to receive product"/>
    <x v="8"/>
    <s v="14200589 /  SO03158547"/>
    <s v="SH0001216847"/>
    <s v="8058146"/>
    <m/>
    <m/>
    <m/>
    <m/>
    <m/>
    <m/>
    <m/>
    <m/>
    <m/>
    <m/>
    <m/>
    <m/>
    <m/>
    <m/>
    <m/>
    <m/>
    <m/>
    <m/>
    <m/>
    <s v="Active"/>
    <s v="Kris Learned"/>
    <s v="Kris Learned"/>
    <s v="Residential - Channel"/>
    <s v="Schlage Residential Mechanical"/>
    <x v="8"/>
    <x v="9"/>
    <s v=""/>
    <s v="2026 / 02"/>
    <s v="Return / Replace / Scrap"/>
    <s v="Customer Care"/>
  </r>
  <r>
    <x v="12"/>
    <s v="CAS6442709"/>
    <s v="Issue"/>
    <s v="Return / Replace / Scrap"/>
    <s v="Quantity"/>
    <m/>
    <m/>
    <s v="Schlage Residential"/>
    <s v="Lock"/>
    <x v="1"/>
    <x v="1"/>
    <s v="CREDIT FOR CONCEALED SHORTAGE_x000a__x000a_CREDIT OPEN BALANCE : $613.10_x000a__x000a_IFC SHIPMENT_x000a__x000a_CARRIER : USA"/>
    <x v="9"/>
    <s v="SO03216151"/>
    <s v="1087990373"/>
    <s v="4563903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11.791666666701"/>
    <m/>
    <m/>
    <s v="Credit Request"/>
    <s v="Resolved"/>
    <s v="Vicki Y Pleak"/>
    <s v="Vicki Y Pleak"/>
    <s v="Commercial"/>
    <s v="Schlage Residential Mechanical"/>
    <x v="4"/>
    <x v="10"/>
    <s v=""/>
    <s v="2026 / 02"/>
    <s v="Return / Replace / Scrap"/>
    <s v="Product"/>
  </r>
  <r>
    <x v="13"/>
    <s v="CAS6442662"/>
    <s v="Issue"/>
    <s v="Return / Replace / Scrap"/>
    <s v="Quantity"/>
    <m/>
    <m/>
    <s v="Schlage Residential"/>
    <s v="Lock"/>
    <x v="1"/>
    <x v="1"/>
    <s v="CREDIT FOR CONCEALED SHORTAGE_x000a__x000a_CREDIT OPEN BALANCE : $342.53_x000a__x000a_IFC SHIPMENT_x000a__x000a_CARRIER : USA"/>
    <x v="9"/>
    <s v="SO0319379"/>
    <s v="1081848823"/>
    <s v="4561209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2.791666666701"/>
    <m/>
    <m/>
    <s v="Credit Request"/>
    <s v="Resolved"/>
    <s v="Vicki Y Pleak"/>
    <s v="Vicki Y Pleak"/>
    <s v="Commercial"/>
    <s v="Schlage Residential Mechanical"/>
    <x v="4"/>
    <x v="10"/>
    <s v=""/>
    <s v="2026 / 02"/>
    <s v="Return / Replace / Scrap"/>
    <s v="Product"/>
  </r>
  <r>
    <x v="14"/>
    <s v="CAS6442623"/>
    <s v="Issue"/>
    <s v="Return / Replace / Scrap"/>
    <s v="Quantity"/>
    <m/>
    <m/>
    <s v="Schlage Residential"/>
    <s v="Lock"/>
    <x v="1"/>
    <x v="1"/>
    <s v="CREDIT FOR CONCEALED SHORTAGE_x000a__x000a_CREDIT OPEN BALANCE : $231.82_x000a__x000a_IFC SHIPMENT_x000a__x000a_CARRIER : USA"/>
    <x v="9"/>
    <s v="SO03192363"/>
    <s v="1081491807"/>
    <s v="45610336"/>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1.791666666701"/>
    <m/>
    <m/>
    <s v="Credit Request"/>
    <s v="Resolved"/>
    <s v="Vicki Y Pleak"/>
    <s v="Vicki Y Pleak"/>
    <s v="Commercial"/>
    <s v="Schlage Residential Mechanical"/>
    <x v="4"/>
    <x v="10"/>
    <s v=""/>
    <s v="2026 / 02"/>
    <s v="Return / Replace / Scrap"/>
    <s v="Product"/>
  </r>
  <r>
    <x v="15"/>
    <s v="CAS6442589"/>
    <s v="Issue"/>
    <s v="Return / Replace / Scrap"/>
    <s v="Quantity"/>
    <m/>
    <m/>
    <s v="Schlage Residential"/>
    <s v="Lock"/>
    <x v="1"/>
    <x v="1"/>
    <s v="CREDIT FOR CONCEALED SHORTAGE_x000a__x000a_CREDIT OPEN BALANCE : $526.57_x000a__x000a_IFC SHIPMENT_x000a__x000a_CARRIER : USA"/>
    <x v="9"/>
    <s v="SO03185931"/>
    <s v="1079678085"/>
    <s v="45613716"/>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3.791666666701"/>
    <m/>
    <m/>
    <s v="Credit Request"/>
    <s v="Resolved"/>
    <s v="Vicki Y Pleak"/>
    <s v="Vicki Y Pleak"/>
    <s v="Commercial"/>
    <s v="Schlage Residential Mechanical"/>
    <x v="4"/>
    <x v="10"/>
    <s v=""/>
    <s v="2026 / 02"/>
    <s v="Return / Replace / Scrap"/>
    <s v="Product"/>
  </r>
  <r>
    <x v="16"/>
    <s v="CAS6442555"/>
    <s v="Issue"/>
    <s v="Return / Replace / Scrap"/>
    <s v="Quantity"/>
    <m/>
    <m/>
    <s v="Schlage Residential"/>
    <s v="Lock"/>
    <x v="1"/>
    <x v="1"/>
    <s v="CREDIT FOR CONCEALED SHORTAGE_x000a__x000a_CREDIT OPEN BALANCE : $730.38_x000a__x000a_IFC SHIPMENT_x000a__x000a_CARRIER : USA"/>
    <x v="9"/>
    <s v="SO03196157"/>
    <s v="1082664352"/>
    <s v="4561381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3.791666666701"/>
    <m/>
    <m/>
    <s v="Credit Request"/>
    <s v="Resolved"/>
    <s v="Vicki Y Pleak"/>
    <s v="Vicki Y Pleak"/>
    <s v="Commercial"/>
    <s v="Schlage Residential Mechanical"/>
    <x v="4"/>
    <x v="10"/>
    <s v=""/>
    <s v="2026 / 02"/>
    <s v="Return / Replace / Scrap"/>
    <s v="Product"/>
  </r>
  <r>
    <x v="17"/>
    <s v="CAS6442516"/>
    <s v="Issue"/>
    <s v="Return / Replace / Scrap"/>
    <s v="Quantity"/>
    <m/>
    <m/>
    <s v="Schlage Residential"/>
    <s v="Lock"/>
    <x v="1"/>
    <x v="1"/>
    <s v="CREDIT FOR CONCEALED SHORTAGE_x000a__x000a_CREDIT OPEN BALANCE : $219.29_x000a__x000a_IFC SHIPMENT_x000a__x000a_CARRIER : USA"/>
    <x v="9"/>
    <s v="SO03196178"/>
    <s v="1082658137"/>
    <s v="4561382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3.791666666701"/>
    <m/>
    <m/>
    <s v="Credit Request"/>
    <s v="Resolved"/>
    <s v="Vicki Y Pleak"/>
    <s v="Vicki Y Pleak"/>
    <s v="Commercial"/>
    <s v="Schlage Residential Mechanical"/>
    <x v="4"/>
    <x v="10"/>
    <s v=""/>
    <s v="2026 / 02"/>
    <s v="Return / Replace / Scrap"/>
    <s v="Product"/>
  </r>
  <r>
    <x v="18"/>
    <s v="CAS6433891"/>
    <s v="Issue"/>
    <s v="Return / Replace / Scrap"/>
    <s v="Incorrect/Missing Product"/>
    <m/>
    <m/>
    <s v="Schlage Residential"/>
    <s v="Lock"/>
    <x v="1"/>
    <x v="0"/>
    <s v="NC RPL- ITEMS NOT RECEIVED _x000a_LINE 30- LOCK.F59.FLA.716.LH.12-322.10-115.134 QTY 4_x000a_LINE 44- LOCK.F59.LAT.622.12-322.10-257.134 QTY 5_x000a__x000a_SHIP TO: 2902_x000a_2902 MAYFIELD RD STE 100_x000a_GRAND PRAIRIE, TX 75052_x000a_--------------------------------------------------------------------------------------------------------------------------------------_x000a_Selected primary Product Type: Accessories_x000a_Do you also need to update the Ship To Address on your order?: No_x000a_The original ship-to address is saved on the shipping tab._x000a_Email: ashley.grant@bannersolutions.com_x000a_Phone Number: 8883620750_x000a_Preferred Contact Method: Email"/>
    <x v="10"/>
    <s v="14254460"/>
    <s v="6377154"/>
    <s v="8151618"/>
    <n v="44"/>
    <s v="Schlage Residential"/>
    <s v="Lock"/>
    <s v="F Handleset"/>
    <s v="Ensenada"/>
    <n v="5"/>
    <s v="0213082~Allegion no envió un producto/pieza|1040~(Alle) Spedito Articolo/Componente mancante|1036~Allegion a envoyé un produit ou une pièce manquante|1033~Allegion Sent Missing Product / Part"/>
    <s v="9741040~Prodotto Mancante|1033~Missing Product|1036~Produit manquant"/>
    <m/>
    <s v="Product"/>
    <m/>
    <s v="043156631490"/>
    <m/>
    <m/>
    <m/>
    <n v="46055.791666666701"/>
    <m/>
    <m/>
    <s v="Replace Only"/>
    <s v="Resolved"/>
    <s v="Portal Cases"/>
    <s v="Erika Harris"/>
    <s v="Residential - Channel"/>
    <s v="Schlage Residential Mechanical"/>
    <x v="9"/>
    <x v="11"/>
    <s v=""/>
    <s v="2026 / 02"/>
    <s v="Return / Replace / Scrap"/>
    <s v="Product"/>
  </r>
  <r>
    <x v="18"/>
    <s v="CAS6433891"/>
    <s v="Issue"/>
    <s v="Return / Replace / Scrap"/>
    <s v="Incorrect/Missing Product"/>
    <m/>
    <m/>
    <s v="Schlage Residential"/>
    <s v="Lock"/>
    <x v="1"/>
    <x v="0"/>
    <s v="NC RPL- ITEMS NOT RECEIVED _x000a_LINE 30- LOCK.F59.FLA.716.LH.12-322.10-115.134 QTY 4_x000a_LINE 44- LOCK.F59.LAT.622.12-322.10-257.134 QTY 5_x000a__x000a_SHIP TO: 2902_x000a_2902 MAYFIELD RD STE 100_x000a_GRAND PRAIRIE, TX 75052_x000a_--------------------------------------------------------------------------------------------------------------------------------------_x000a_Selected primary Product Type: Accessories_x000a_Do you also need to update the Ship To Address on your order?: No_x000a_The original ship-to address is saved on the shipping tab._x000a_Email: ashley.grant@bannersolutions.com_x000a_Phone Number: 8883620750_x000a_Preferred Contact Method: Email"/>
    <x v="10"/>
    <s v="14254460"/>
    <s v="6377154"/>
    <s v="8151618"/>
    <n v="30"/>
    <s v="Schlage Residential"/>
    <s v="Lock"/>
    <s v="F Handleset"/>
    <s v="Ensenada"/>
    <n v="4"/>
    <s v="0213082~Allegion no envió un producto/pieza|1040~(Alle) Spedito Articolo/Componente mancante|1036~Allegion a envoyé un produit ou une pièce manquante|1033~Allegion Sent Missing Product / Part"/>
    <s v="9741040~Prodotto Mancante|1033~Missing Product|1036~Produit manquant"/>
    <m/>
    <s v="Product"/>
    <m/>
    <s v="043156228669"/>
    <m/>
    <m/>
    <m/>
    <n v="46055.791666666701"/>
    <m/>
    <m/>
    <s v="Replace Only"/>
    <s v="Resolved"/>
    <s v="Portal Cases"/>
    <s v="Erika Harris"/>
    <s v="Residential - Channel"/>
    <s v="Schlage Residential Mechanical"/>
    <x v="9"/>
    <x v="11"/>
    <s v=""/>
    <s v="2026 / 02"/>
    <s v="Return / Replace / Scrap"/>
    <s v="Product"/>
  </r>
  <r>
    <x v="19"/>
    <s v="CAS6427754"/>
    <s v="Issue"/>
    <s v="Return / Replace / Scrap"/>
    <s v="Incorrect/Missing Product"/>
    <m/>
    <m/>
    <s v="Schlage Residential"/>
    <s v="Lock"/>
    <x v="1"/>
    <x v="0"/>
    <s v="CUST RCVD THE INCORRECT PRODUCT - OE ERROR_x000a__x000a_REQ LOCK.F170.ACC.619.RH.134 _x000a_RCVD LOCK.F170.ACC.619.LH.134_x000a__x000a_14 BOXES - 224LBS"/>
    <x v="11"/>
    <s v="14264986"/>
    <s v="0010517"/>
    <s v="8160347"/>
    <n v="27"/>
    <s v="Schlage Residential"/>
    <s v="Lock"/>
    <s v="F Knob/Lever"/>
    <s v="Ensenada"/>
    <n v="28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s v="Order Management"/>
    <m/>
    <m/>
    <s v="F170"/>
    <m/>
    <m/>
    <n v="46063.791666666701"/>
    <m/>
    <m/>
    <s v="Return and Replace"/>
    <s v="Active"/>
    <s v="Bionica Brown"/>
    <s v="Bionica Brown"/>
    <s v="Residential - Channel"/>
    <s v="Schlage Residential Mechanical"/>
    <x v="10"/>
    <x v="12"/>
    <s v=""/>
    <s v="2026 / 02"/>
    <s v="Return / Replace / Scrap"/>
    <s v="Customer Care"/>
  </r>
  <r>
    <x v="20"/>
    <s v="CAS6407362"/>
    <s v="Issue"/>
    <s v="Return / Replace / Scrap"/>
    <s v="Quantity"/>
    <m/>
    <m/>
    <s v="Schlage Residential"/>
    <s v="Lock"/>
    <x v="3"/>
    <x v="0"/>
    <s v="SHORT SHIPPED"/>
    <x v="12"/>
    <s v="14225596"/>
    <s v="DIB205858"/>
    <s v="8099709"/>
    <m/>
    <s v="Schlage Residential"/>
    <s v="Lock"/>
    <s v="B"/>
    <s v="Ensenada"/>
    <n v="1"/>
    <s v="0023082~Allegion línea omitida por error|1040~(Allegion) Riga Mancante|1033~Allegion Missed Line|1036~Allegion a manqué une ligne"/>
    <s v="0081033~Allegion Missed Line - Shipping|1040~(Allegion) Riga Mancante - Spedizione|3082~Allegion línea omitida envío|1036~Ligne manquée Allegion - Expédition"/>
    <m/>
    <s v="Shipping"/>
    <m/>
    <m/>
    <m/>
    <m/>
    <m/>
    <n v="46000.791666666701"/>
    <m/>
    <m/>
    <s v="Credit Request"/>
    <s v="Resolved"/>
    <s v="Karen Strong"/>
    <s v="Karen Strong"/>
    <s v="Residential - Channel"/>
    <s v="Schlage Residential Mechanical"/>
    <x v="11"/>
    <x v="13"/>
    <s v=""/>
    <s v="2026 / 02"/>
    <s v="Return / Replace / Scrap"/>
    <s v="Product"/>
  </r>
  <r>
    <x v="21"/>
    <s v="CAS6441460"/>
    <s v="Issue"/>
    <s v="Credit / Debit Request"/>
    <s v="Pricing Adjustment"/>
    <m/>
    <m/>
    <s v="Schlage Residential"/>
    <s v="Multiple"/>
    <x v="4"/>
    <x v="0"/>
    <s v="JAN 2026 BUILDER CREDITS BEP LYMAN | 3003249 | BEP LYMAN LLC _x000a_$25,672.99_x000a_see request and approval attached._x000a__x000a_Could you please issue the January 2026 monthly builder credits for BEP Lyman for $25,672.99 as documented on the attached BEP LYMAN Credit Tracker/Validation and approved in the email attachment and below by Finance, MJ AND EMMA. Don’t hesitate to reach out with any questions. Thank you!!"/>
    <x v="13"/>
    <s v="Various"/>
    <s v="Various"/>
    <m/>
    <m/>
    <s v="Schlage Residential"/>
    <s v="Multiple"/>
    <s v="Multiple"/>
    <s v="Ensenada"/>
    <n v="25673"/>
    <s v="0531033~Quote / Product Error|1040~Errore Offerta / Prodotto|3082~Oferta / error producto|1036~Erreur de devis / produit"/>
    <s v="0171033~Broken Package|1040~Collo Rotto|3082~Embalaje roto|1036~Emballage cassé"/>
    <m/>
    <s v="Sales"/>
    <m/>
    <m/>
    <m/>
    <m/>
    <m/>
    <n v="46036.791666666701"/>
    <m/>
    <m/>
    <s v="Credit Request"/>
    <s v="Resolved"/>
    <s v="Erika Harris"/>
    <s v="Erika Harris"/>
    <s v="Residential - Channel"/>
    <s v="Schlage Residential Mechanical"/>
    <x v="5"/>
    <x v="5"/>
    <s v=""/>
    <s v="2026 / 02"/>
    <s v="Credit / Debit Request"/>
    <s v="Customer Care"/>
  </r>
  <r>
    <x v="22"/>
    <s v="CAS6441322"/>
    <s v="Issue"/>
    <s v="Return / Replace / Scrap"/>
    <s v="Incorrect/Missing Product"/>
    <m/>
    <m/>
    <s v="Schlage Residential"/>
    <s v="Lock"/>
    <x v="2"/>
    <x v="0"/>
    <s v="CUSTOMER REQUEST CREDIT FOR SHORT SHIPMENT OF _x000a_LINE 18-LOCK.F10.VLA.605.ADD..16-080.10-027.134 SHORT SHIPPED QTY 8_x000a_PRICING $24.85+$1.62 SURCHARGE X 8 =FOR A CREDIT OF $211.76_x000a__x000a_3830 MILLSTONE CORPORATE DR_x000a_SAINT CHARLES, MO, 63301, US"/>
    <x v="2"/>
    <s v="14258875"/>
    <s v="5298787"/>
    <s v="8154011"/>
    <n v="18"/>
    <s v="Schlage Residential"/>
    <s v="Lock"/>
    <s v="F Knob/Lever"/>
    <s v="Ensenada"/>
    <n v="8"/>
    <s v="0213082~Allegion no envió un producto/pieza|1040~(Alle) Spedito Articolo/Componente mancante|1036~Allegion a envoyé un produit ou une pièce manquante|1033~Allegion Sent Missing Product / Part"/>
    <s v="9741040~Prodotto Mancante|1033~Missing Product|1036~Produit manquant"/>
    <m/>
    <s v="Product"/>
    <m/>
    <s v="043156178810"/>
    <m/>
    <m/>
    <m/>
    <n v="46057.791666666701"/>
    <m/>
    <m/>
    <s v="Credit Request"/>
    <s v="Resolved"/>
    <s v="Erika Harris"/>
    <s v="Erika Harris"/>
    <s v="Residential - Channel"/>
    <s v="Schlage Residential Mechanical"/>
    <x v="9"/>
    <x v="11"/>
    <s v=""/>
    <s v="2026 / 02"/>
    <s v="Return / Replace / Scrap"/>
    <s v="Product"/>
  </r>
  <r>
    <x v="23"/>
    <s v="CAS6440967"/>
    <s v="Issue"/>
    <s v="Credit / Debit Request"/>
    <s v="Pricing Adjustment"/>
    <m/>
    <m/>
    <s v="Schlage Residential"/>
    <s v="Lock"/>
    <x v="2"/>
    <x v="0"/>
    <s v="EMAIL CHAIN(S) ATTACHED_x000a_RSO REQUESTING CREDIT FOR DIFFERENCE BETWEEN OLD EXPIRED QUOTE 1210927 THAT THE CUSTOMER WAS TRYING TO USE AND NEW QUOTE 1607373 THAT WAS USED ON PO 57950_x000a_LINE 1 - FE285.CEN.625 NOT A PART OF OLD QUOTE, LINE LEFT OUT OF DISCOUNT TABLE _x000a__x000a_DISCOUNT TABLE ATTACHED_x000a_TOTAL REQUESTED CREDIT - $1,385.12"/>
    <x v="14"/>
    <s v="14272026"/>
    <s v="57950"/>
    <m/>
    <m/>
    <s v="Schlage Residential"/>
    <s v="Lock"/>
    <s v="F Handleset"/>
    <s v="Olathe"/>
    <n v="1"/>
    <s v="0531033~Quote / Product Error|1040~Errore Offerta / Prodotto|3082~Oferta / error producto|1036~Erreur de devis / produit"/>
    <s v="0171033~Broken Package|1040~Collo Rotto|3082~Embalaje roto|1036~Emballage cassé"/>
    <m/>
    <s v="Sales"/>
    <m/>
    <m/>
    <m/>
    <m/>
    <m/>
    <n v="46099.833333333299"/>
    <m/>
    <m/>
    <s v="Credit Request"/>
    <s v="Active"/>
    <s v="Erika Harris"/>
    <s v="Erika Harris"/>
    <s v="Residential - Channel"/>
    <s v="Schlage Residential Mechanical"/>
    <x v="5"/>
    <x v="5"/>
    <s v=""/>
    <s v="2026 / 02"/>
    <s v="Credit / Debit Request"/>
    <s v="Customer Care"/>
  </r>
  <r>
    <x v="24"/>
    <s v="CAS6437797"/>
    <s v="Issue"/>
    <s v="Return / Replace / Scrap"/>
    <s v="Defective Product"/>
    <m/>
    <s v="Reliability"/>
    <s v="Schlage Residential"/>
    <s v="Lock"/>
    <x v="3"/>
    <x v="0"/>
    <s v="NC replace_x000a__x000a_Per case CAS6412790 lock is defective._x000a_Please replace:_x000a_Line 1 QTY 1) LOCK.BE467.F.ADD.622.12-398.10-116.134_x000a__x000a_Ship to same:_x000a_ARCHITECTURAL DOOR LLC dba ARCHDOOR LLC_x000a_2402B UNITED DR_x000a_Greenville, NC, 27834, US"/>
    <x v="15"/>
    <s v="13999896"/>
    <s v="300080-079"/>
    <s v="7773302"/>
    <n v="1"/>
    <s v="Schlage Residential"/>
    <s v="Lock"/>
    <s v="B"/>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s v="Product"/>
    <m/>
    <s v="043156643714"/>
    <s v="B80"/>
    <m/>
    <m/>
    <n v="45693.791666666701"/>
    <m/>
    <m/>
    <s v="Replace Only"/>
    <s v="Resolved"/>
    <s v="Kevin Durand"/>
    <s v="Kevin Durand"/>
    <s v="Commercial"/>
    <s v="Schlage Residential Mechanical"/>
    <x v="12"/>
    <x v="14"/>
    <e v="#VALUE!"/>
    <s v="2026 / 02"/>
    <s v="Return / Replace / Scrap"/>
    <s v="Product"/>
  </r>
  <r>
    <x v="25"/>
    <s v="CAS6432881"/>
    <s v="Issue"/>
    <s v="Credit / Debit Request"/>
    <s v="Pricing Adjustment"/>
    <m/>
    <m/>
    <s v="Schlage Residential"/>
    <s v="Lock"/>
    <x v="2"/>
    <x v="1"/>
    <s v="Credit  for Internal Use Only Do Not Send to Ferguson._x000a_DMJ533-234_x000a_dm 45700159_x000a__x000a_Request and invoice attached."/>
    <x v="4"/>
    <s v="SO03221090"/>
    <s v="H533-14287"/>
    <s v="45654742"/>
    <n v="44"/>
    <s v="Schlage Residential"/>
    <s v="Lock"/>
    <s v="F Knob/Lever"/>
    <s v="Olathe"/>
    <n v="8"/>
    <s v="0531033~Quote / Product Error|1040~Errore Offerta / Prodotto|3082~Oferta / error producto|1036~Erreur de devis / produit"/>
    <s v="0171033~Broken Package|1040~Collo Rotto|3082~Embalaje roto|1036~Emballage cassé"/>
    <m/>
    <s v="Sales"/>
    <m/>
    <s v="043156351169 / SCH351168"/>
    <m/>
    <m/>
    <m/>
    <n v="46028.791666666701"/>
    <m/>
    <m/>
    <s v="Credit Request"/>
    <s v="Resolved"/>
    <s v="Curt Moore"/>
    <s v="Curt Moore"/>
    <s v="Residential - Channel"/>
    <s v="Schlage Residential Mechanical"/>
    <x v="5"/>
    <x v="5"/>
    <s v=""/>
    <s v="2026 / 02"/>
    <s v="Credit / Debit Request"/>
    <s v="Customer Care"/>
  </r>
  <r>
    <x v="25"/>
    <s v="CAS6432881"/>
    <s v="Issue"/>
    <s v="Credit / Debit Request"/>
    <s v="Pricing Adjustment"/>
    <m/>
    <m/>
    <s v="Schlage Residential"/>
    <s v="Lock"/>
    <x v="2"/>
    <x v="1"/>
    <s v="Credit  for Internal Use Only Do Not Send to Ferguson._x000a_DMJ533-234_x000a_dm 45700159_x000a__x000a_Request and invoice attached."/>
    <x v="4"/>
    <s v="SO03221090"/>
    <s v="H533-14287"/>
    <s v="45654742"/>
    <n v="35"/>
    <s v="Schlage Residential"/>
    <s v="Lock"/>
    <s v="F Knob/Lever"/>
    <s v="Olathe"/>
    <n v="8"/>
    <s v="0531033~Quote / Product Error|1040~Errore Offerta / Prodotto|3082~Oferta / error producto|1036~Erreur de devis / produit"/>
    <s v="0171033~Broken Package|1040~Collo Rotto|3082~Embalaje roto|1036~Emballage cassé"/>
    <m/>
    <s v="Sales"/>
    <m/>
    <s v="043156206834 / SCH206834"/>
    <m/>
    <m/>
    <m/>
    <n v="46028.791666666701"/>
    <m/>
    <m/>
    <s v="Credit Request"/>
    <s v="Resolved"/>
    <s v="Curt Moore"/>
    <s v="Curt Moore"/>
    <s v="Residential - Channel"/>
    <s v="Schlage Residential Mechanical"/>
    <x v="5"/>
    <x v="5"/>
    <s v=""/>
    <s v="2026 / 02"/>
    <s v="Credit / Debit Request"/>
    <s v="Customer Care"/>
  </r>
  <r>
    <x v="26"/>
    <s v="CAS6432794"/>
    <s v="Issue"/>
    <s v="Return / Replace / Scrap"/>
    <s v="Shipping"/>
    <m/>
    <m/>
    <s v="Schlage Residential"/>
    <s v="Lock"/>
    <x v="2"/>
    <x v="1"/>
    <s v="RMA for Refused damaged Product / Res. Mech. / Orgill / 3000807_x000a_Line #32 - 4 of the F10 V PLY 605 / 043156961320 / 695-0414 / $11.23_x000a_No credit Due_x000a__x000a_See request and invoice attached."/>
    <x v="16"/>
    <s v="14259242 - SO03253781"/>
    <s v="43797505"/>
    <s v="8153814"/>
    <n v="32"/>
    <s v="Schlage Residential"/>
    <s v="Lock"/>
    <s v="F Knob/Lever"/>
    <s v="Olathe"/>
    <n v="4"/>
    <s v="0223082~Dañado en el Transporte|1040~Danneggiato Durante il Trasporto|1033~Damaged in Transit|1036~Endommagé pendant le transport"/>
    <s v="0471040~Danneggiato Durante il Trasporto|3082~Dañado en el transporte|1033~Damaged in Transit|1036~Endommagé pendant le transport"/>
    <m/>
    <s v="Carrier"/>
    <m/>
    <s v="043156961320 / 695-0414"/>
    <m/>
    <m/>
    <m/>
    <n v="46056.791666666701"/>
    <m/>
    <m/>
    <s v="Return Only"/>
    <s v="Resolved"/>
    <s v="Curt Moore"/>
    <s v="Curt Moore"/>
    <s v="Residential - Channel"/>
    <s v="Schlage Residential Mechanical"/>
    <x v="13"/>
    <x v="15"/>
    <s v=""/>
    <s v="2026 / 02"/>
    <s v="Return / Replace / Scrap"/>
    <s v="Product"/>
  </r>
  <r>
    <x v="27"/>
    <s v="CAS6432467"/>
    <s v="Issue"/>
    <s v="Return / Replace / Scrap"/>
    <s v="Defective Product"/>
    <m/>
    <s v="Reliability"/>
    <s v="Schlage Residential"/>
    <s v="Lock"/>
    <x v="2"/>
    <x v="0"/>
    <s v="SIF credit for defectives / Schlage Res. Mech. / Builders Supply Co. Inc. / 3001483_x000a__x000a_Good Afternoon,_x000a_Please see attached request for credit for defective product in field._x000a_Let me know if you have any questions._x000a_Have a Great Day!_x000a_Susan Hearn_x000a_National Builder Account Executive_x000a_Cell: 816-266-0333_x000a_Email: susan.hearn@allegion.com"/>
    <x v="17"/>
    <s v="Various"/>
    <s v="Various"/>
    <s v="Various"/>
    <n v="7"/>
    <s v="Schlage Residential"/>
    <s v="Lock"/>
    <s v="F Knob/Lever"/>
    <s v="Ensenada"/>
    <n v="1"/>
    <s v="0311033~Functional Mechanical|1040~Funzionamento Meccanico|3082~Función mecánica|1036~Functional Mechanical"/>
    <s v="0161033~Broken / Bad Parts|1040~Parti rotte / difettose|3082~Partes rotas / malas|1036~Pièces cassées / mauvaises"/>
    <m/>
    <s v="Product"/>
    <m/>
    <m/>
    <m/>
    <m/>
    <m/>
    <n v="46068.791666666701"/>
    <m/>
    <m/>
    <s v="Return Only"/>
    <s v="Resolved"/>
    <s v="Curt Moore"/>
    <s v="Curt Moore"/>
    <s v="Residential - Channel"/>
    <s v="Schlage Residential Mechanical"/>
    <x v="0"/>
    <x v="0"/>
    <s v=""/>
    <s v="2026 / 02"/>
    <s v="Return / Replace / Scrap"/>
    <s v="Product"/>
  </r>
  <r>
    <x v="27"/>
    <s v="CAS6432467"/>
    <s v="Issue"/>
    <s v="Return / Replace / Scrap"/>
    <s v="Defective Product"/>
    <m/>
    <s v="Reliability"/>
    <s v="Schlage Residential"/>
    <s v="Lock"/>
    <x v="2"/>
    <x v="0"/>
    <s v="SIF credit for defectives / Schlage Res. Mech. / Builders Supply Co. Inc. / 3001483_x000a__x000a_Good Afternoon,_x000a_Please see attached request for credit for defective product in field._x000a_Let me know if you have any questions._x000a_Have a Great Day!_x000a_Susan Hearn_x000a_National Builder Account Executive_x000a_Cell: 816-266-0333_x000a_Email: susan.hearn@allegion.com"/>
    <x v="17"/>
    <s v="Various"/>
    <s v="Various"/>
    <s v="Various"/>
    <n v="6"/>
    <s v="Schlage Residential"/>
    <s v="Lock"/>
    <s v="F Knob/Lever"/>
    <s v="Ensenada"/>
    <n v="1"/>
    <s v="0311033~Functional Mechanical|1040~Funzionamento Meccanico|3082~Función mecánica|1036~Functional Mechanical"/>
    <s v="0161033~Broken / Bad Parts|1040~Parti rotte / difettose|3082~Partes rotas / malas|1036~Pièces cassées / mauvaises"/>
    <m/>
    <s v="Product"/>
    <m/>
    <m/>
    <m/>
    <m/>
    <m/>
    <n v="46068.791666666701"/>
    <m/>
    <m/>
    <s v="Return Only"/>
    <s v="Resolved"/>
    <s v="Curt Moore"/>
    <s v="Curt Moore"/>
    <s v="Residential - Channel"/>
    <s v="Schlage Residential Mechanical"/>
    <x v="0"/>
    <x v="0"/>
    <s v=""/>
    <s v="2026 / 02"/>
    <s v="Return / Replace / Scrap"/>
    <s v="Product"/>
  </r>
  <r>
    <x v="27"/>
    <s v="CAS6432467"/>
    <s v="Issue"/>
    <s v="Return / Replace / Scrap"/>
    <s v="Defective Product"/>
    <m/>
    <s v="Reliability"/>
    <s v="Schlage Residential"/>
    <s v="Lock"/>
    <x v="2"/>
    <x v="0"/>
    <s v="SIF credit for defectives / Schlage Res. Mech. / Builders Supply Co. Inc. / 3001483_x000a__x000a_Good Afternoon,_x000a_Please see attached request for credit for defective product in field._x000a_Let me know if you have any questions._x000a_Have a Great Day!_x000a_Susan Hearn_x000a_National Builder Account Executive_x000a_Cell: 816-266-0333_x000a_Email: susan.hearn@allegion.com"/>
    <x v="17"/>
    <s v="Various"/>
    <s v="Various"/>
    <s v="Various"/>
    <n v="5"/>
    <s v="Schlage Residential"/>
    <s v="Lock"/>
    <s v="F Knob/Lever"/>
    <s v="Ensenada"/>
    <n v="1"/>
    <s v="0311033~Functional Mechanical|1040~Funzionamento Meccanico|3082~Función mecánica|1036~Functional Mechanical"/>
    <s v="0161033~Broken / Bad Parts|1040~Parti rotte / difettose|3082~Partes rotas / malas|1036~Pièces cassées / mauvaises"/>
    <m/>
    <s v="Product"/>
    <m/>
    <m/>
    <m/>
    <m/>
    <m/>
    <n v="46068.791666666701"/>
    <m/>
    <m/>
    <s v="Return Only"/>
    <s v="Resolved"/>
    <s v="Curt Moore"/>
    <s v="Curt Moore"/>
    <s v="Residential - Channel"/>
    <s v="Schlage Residential Mechanical"/>
    <x v="0"/>
    <x v="0"/>
    <s v=""/>
    <s v="2026 / 02"/>
    <s v="Return / Replace / Scrap"/>
    <s v="Product"/>
  </r>
  <r>
    <x v="27"/>
    <s v="CAS6432467"/>
    <s v="Issue"/>
    <s v="Return / Replace / Scrap"/>
    <s v="Defective Product"/>
    <m/>
    <s v="Reliability"/>
    <s v="Schlage Residential"/>
    <s v="Lock"/>
    <x v="2"/>
    <x v="0"/>
    <s v="SIF credit for defectives / Schlage Res. Mech. / Builders Supply Co. Inc. / 3001483_x000a__x000a_Good Afternoon,_x000a_Please see attached request for credit for defective product in field._x000a_Let me know if you have any questions._x000a_Have a Great Day!_x000a_Susan Hearn_x000a_National Builder Account Executive_x000a_Cell: 816-266-0333_x000a_Email: susan.hearn@allegion.com"/>
    <x v="17"/>
    <s v="Various"/>
    <s v="Various"/>
    <s v="Various"/>
    <n v="4"/>
    <s v="Schlage Residential"/>
    <s v="Lock"/>
    <s v="F Knob/Lever"/>
    <s v="Ensenada"/>
    <n v="1"/>
    <s v="0311033~Functional Mechanical|1040~Funzionamento Meccanico|3082~Función mecánica|1036~Functional Mechanical"/>
    <s v="0161033~Broken / Bad Parts|1040~Parti rotte / difettose|3082~Partes rotas / malas|1036~Pièces cassées / mauvaises"/>
    <m/>
    <s v="Product"/>
    <m/>
    <m/>
    <m/>
    <m/>
    <m/>
    <n v="46068.791666666701"/>
    <m/>
    <m/>
    <s v="Return Only"/>
    <s v="Resolved"/>
    <s v="Curt Moore"/>
    <s v="Curt Moore"/>
    <s v="Residential - Channel"/>
    <s v="Schlage Residential Mechanical"/>
    <x v="0"/>
    <x v="0"/>
    <s v=""/>
    <s v="2026 / 02"/>
    <s v="Return / Replace / Scrap"/>
    <s v="Product"/>
  </r>
  <r>
    <x v="27"/>
    <s v="CAS6432467"/>
    <s v="Issue"/>
    <s v="Return / Replace / Scrap"/>
    <s v="Defective Product"/>
    <m/>
    <s v="Reliability"/>
    <s v="Schlage Residential"/>
    <s v="Lock"/>
    <x v="2"/>
    <x v="0"/>
    <s v="SIF credit for defectives / Schlage Res. Mech. / Builders Supply Co. Inc. / 3001483_x000a__x000a_Good Afternoon,_x000a_Please see attached request for credit for defective product in field._x000a_Let me know if you have any questions._x000a_Have a Great Day!_x000a_Susan Hearn_x000a_National Builder Account Executive_x000a_Cell: 816-266-0333_x000a_Email: susan.hearn@allegion.com"/>
    <x v="17"/>
    <s v="Various"/>
    <s v="Various"/>
    <s v="Various"/>
    <n v="3"/>
    <s v="Schlage Residential"/>
    <s v="Lock"/>
    <s v="F Knob/Lever"/>
    <s v="Ensenada"/>
    <n v="1"/>
    <s v="0311033~Functional Mechanical|1040~Funzionamento Meccanico|3082~Función mecánica|1036~Functional Mechanical"/>
    <s v="0161033~Broken / Bad Parts|1040~Parti rotte / difettose|3082~Partes rotas / malas|1036~Pièces cassées / mauvaises"/>
    <m/>
    <s v="Product"/>
    <m/>
    <m/>
    <m/>
    <m/>
    <m/>
    <n v="46068.791666666701"/>
    <m/>
    <m/>
    <s v="Return Only"/>
    <s v="Resolved"/>
    <s v="Curt Moore"/>
    <s v="Curt Moore"/>
    <s v="Residential - Channel"/>
    <s v="Schlage Residential Mechanical"/>
    <x v="0"/>
    <x v="0"/>
    <s v=""/>
    <s v="2026 / 02"/>
    <s v="Return / Replace / Scrap"/>
    <s v="Product"/>
  </r>
  <r>
    <x v="27"/>
    <s v="CAS6432467"/>
    <s v="Issue"/>
    <s v="Return / Replace / Scrap"/>
    <s v="Defective Product"/>
    <m/>
    <s v="Reliability"/>
    <s v="Schlage Residential"/>
    <s v="Lock"/>
    <x v="2"/>
    <x v="0"/>
    <s v="SIF credit for defectives / Schlage Res. Mech. / Builders Supply Co. Inc. / 3001483_x000a__x000a_Good Afternoon,_x000a_Please see attached request for credit for defective product in field._x000a_Let me know if you have any questions._x000a_Have a Great Day!_x000a_Susan Hearn_x000a_National Builder Account Executive_x000a_Cell: 816-266-0333_x000a_Email: susan.hearn@allegion.com"/>
    <x v="17"/>
    <s v="Various"/>
    <s v="Various"/>
    <s v="Various"/>
    <n v="9"/>
    <s v="Schlage Residential"/>
    <s v="Lock"/>
    <s v="J"/>
    <s v="Olathe"/>
    <n v="1"/>
    <s v="0311033~Functional Mechanical|1040~Funzionamento Meccanico|3082~Función mecánica|1036~Functional Mechanical"/>
    <s v="0161033~Broken / Bad Parts|1040~Parti rotte / difettose|3082~Partes rotas / malas|1036~Pièces cassées / mauvaises"/>
    <m/>
    <s v="Product"/>
    <m/>
    <m/>
    <m/>
    <m/>
    <m/>
    <n v="46068.791666666701"/>
    <m/>
    <m/>
    <s v="Return Only"/>
    <s v="Resolved"/>
    <s v="Curt Moore"/>
    <s v="Curt Moore"/>
    <s v="Residential - Channel"/>
    <s v="Schlage Residential Mechanical"/>
    <x v="0"/>
    <x v="0"/>
    <s v=""/>
    <s v="2026 / 02"/>
    <s v="Return / Replace / Scrap"/>
    <s v="Product"/>
  </r>
  <r>
    <x v="27"/>
    <s v="CAS6432467"/>
    <s v="Issue"/>
    <s v="Return / Replace / Scrap"/>
    <s v="Defective Product"/>
    <m/>
    <s v="Reliability"/>
    <s v="Schlage Residential"/>
    <s v="Lock"/>
    <x v="2"/>
    <x v="0"/>
    <s v="SIF credit for defectives / Schlage Res. Mech. / Builders Supply Co. Inc. / 3001483_x000a__x000a_Good Afternoon,_x000a_Please see attached request for credit for defective product in field._x000a_Let me know if you have any questions._x000a_Have a Great Day!_x000a_Susan Hearn_x000a_National Builder Account Executive_x000a_Cell: 816-266-0333_x000a_Email: susan.hearn@allegion.com"/>
    <x v="17"/>
    <s v="Various"/>
    <s v="Various"/>
    <s v="Various"/>
    <n v="8"/>
    <s v="Schlage Residential"/>
    <s v="Lock"/>
    <s v="J"/>
    <s v="Olathe"/>
    <n v="2"/>
    <s v="0311033~Functional Mechanical|1040~Funzionamento Meccanico|3082~Función mecánica|1036~Functional Mechanical"/>
    <s v="0161033~Broken / Bad Parts|1040~Parti rotte / difettose|3082~Partes rotas / malas|1036~Pièces cassées / mauvaises"/>
    <m/>
    <s v="Product"/>
    <m/>
    <m/>
    <m/>
    <m/>
    <m/>
    <n v="46068.791666666701"/>
    <m/>
    <m/>
    <s v="Return Only"/>
    <s v="Resolved"/>
    <s v="Curt Moore"/>
    <s v="Curt Moore"/>
    <s v="Residential - Channel"/>
    <s v="Schlage Residential Mechanical"/>
    <x v="0"/>
    <x v="0"/>
    <s v=""/>
    <s v="2026 / 02"/>
    <s v="Return / Replace / Scrap"/>
    <s v="Product"/>
  </r>
  <r>
    <x v="27"/>
    <s v="CAS6432467"/>
    <s v="Issue"/>
    <s v="Return / Replace / Scrap"/>
    <s v="Defective Product"/>
    <m/>
    <s v="Reliability"/>
    <s v="Schlage Residential"/>
    <s v="Lock"/>
    <x v="2"/>
    <x v="0"/>
    <s v="SIF credit for defectives / Schlage Res. Mech. / Builders Supply Co. Inc. / 3001483_x000a__x000a_Good Afternoon,_x000a_Please see attached request for credit for defective product in field._x000a_Let me know if you have any questions._x000a_Have a Great Day!_x000a_Susan Hearn_x000a_National Builder Account Executive_x000a_Cell: 816-266-0333_x000a_Email: susan.hearn@allegion.com"/>
    <x v="17"/>
    <s v="Various"/>
    <s v="Various"/>
    <s v="Various"/>
    <n v="2"/>
    <s v="Schlage Residential"/>
    <s v="Lock"/>
    <s v="J"/>
    <s v="Olathe"/>
    <n v="6"/>
    <s v="0311033~Functional Mechanical|1040~Funzionamento Meccanico|3082~Función mecánica|1036~Functional Mechanical"/>
    <s v="0161033~Broken / Bad Parts|1040~Parti rotte / difettose|3082~Partes rotas / malas|1036~Pièces cassées / mauvaises"/>
    <m/>
    <s v="Product"/>
    <m/>
    <m/>
    <m/>
    <m/>
    <m/>
    <n v="46068.791666666701"/>
    <m/>
    <m/>
    <s v="Return Only"/>
    <s v="Resolved"/>
    <s v="Curt Moore"/>
    <s v="Curt Moore"/>
    <s v="Residential - Channel"/>
    <s v="Schlage Residential Mechanical"/>
    <x v="0"/>
    <x v="0"/>
    <s v=""/>
    <s v="2026 / 02"/>
    <s v="Return / Replace / Scrap"/>
    <s v="Product"/>
  </r>
  <r>
    <x v="27"/>
    <s v="CAS6432467"/>
    <s v="Issue"/>
    <s v="Return / Replace / Scrap"/>
    <s v="Defective Product"/>
    <m/>
    <s v="Reliability"/>
    <s v="Schlage Residential"/>
    <s v="Lock"/>
    <x v="2"/>
    <x v="0"/>
    <s v="SIF credit for defectives / Schlage Res. Mech. / Builders Supply Co. Inc. / 3001483_x000a__x000a_Good Afternoon,_x000a_Please see attached request for credit for defective product in field._x000a_Let me know if you have any questions._x000a_Have a Great Day!_x000a_Susan Hearn_x000a_National Builder Account Executive_x000a_Cell: 816-266-0333_x000a_Email: susan.hearn@allegion.com"/>
    <x v="17"/>
    <s v="Various"/>
    <s v="Various"/>
    <s v="Various"/>
    <n v="1"/>
    <s v="Schlage Residential"/>
    <s v="Lock"/>
    <s v="J"/>
    <s v="Olathe"/>
    <n v="10"/>
    <s v="0311033~Functional Mechanical|1040~Funzionamento Meccanico|3082~Función mecánica|1036~Functional Mechanical"/>
    <s v="0161033~Broken / Bad Parts|1040~Parti rotte / difettose|3082~Partes rotas / malas|1036~Pièces cassées / mauvaises"/>
    <m/>
    <s v="Product"/>
    <m/>
    <m/>
    <m/>
    <m/>
    <m/>
    <n v="46068.791666666701"/>
    <m/>
    <m/>
    <s v="Return Only"/>
    <s v="Resolved"/>
    <s v="Curt Moore"/>
    <s v="Curt Moore"/>
    <s v="Residential - Channel"/>
    <s v="Schlage Residential Mechanical"/>
    <x v="0"/>
    <x v="0"/>
    <s v=""/>
    <s v="2026 / 02"/>
    <s v="Return / Replace / Scrap"/>
    <s v="Product"/>
  </r>
  <r>
    <x v="28"/>
    <s v="CAS6429566"/>
    <s v="Issue"/>
    <s v="Return / Replace / Scrap"/>
    <s v="Defective Product"/>
    <m/>
    <s v="Out of Box"/>
    <s v="Schlage Residential"/>
    <s v="Lock"/>
    <x v="1"/>
    <x v="0"/>
    <s v="NC RPL- ARRIVED SCRATCHED/PARTS LOOSE_x000a_LINE 17 - LOCK.F94.VLA.619.GRW..134 QTY 1 _x000a_043156569656_x000a__x000a_SHIP TO:_x000a_80 4TH ST._x000a_HONESDALE, PA 18431 _x000a_------------------------------------------------------------------------------------------------------_x000a_Customer Service,_x000a_We have received a shipment from your factory, with the following issue(s);_x000a_PO# 5298451_x000a_Item ID: F94VLA619GRW_x000a_Qty: 1_x000a_Issue: Scratches on lever/parts loose in pkg, pics attached._x000a__x000a_TND Resolution requested : Please issue a no charge replacement for product damaged in transit, advise if you like returned to you or scrapped._x000a__x000a_Please send ALL correspondence to cmeinhold@topnotchinc.com, reference Case #PA5751, for our records."/>
    <x v="2"/>
    <s v="14257570"/>
    <s v="5298451"/>
    <s v="8148421"/>
    <n v="17"/>
    <s v="Schlage Residential"/>
    <s v="Lock"/>
    <s v="F Handleset"/>
    <s v="Ensenada"/>
    <n v="1"/>
    <s v="0071033~Appearance / Finish|1040~Estetica / Finitura|3082~Estética / Acabado|1036~Apparence/Finition"/>
    <s v="0491033~Dented / Scratches|1040~Ammaccato/graffiato|3082~Abollado/rayado|1036~Bosselé / rayé"/>
    <m/>
    <s v="Product"/>
    <m/>
    <s v="043156569656"/>
    <s v="F94"/>
    <m/>
    <m/>
    <n v="46056.791666666701"/>
    <m/>
    <m/>
    <s v="Replace Only"/>
    <s v="Resolved"/>
    <s v="Erika Harris"/>
    <s v="Erika Harris"/>
    <s v="Residential - Channel"/>
    <s v="Schlage Residential Mechanical"/>
    <x v="2"/>
    <x v="2"/>
    <s v=""/>
    <s v="2026 / 02"/>
    <s v="Return / Replace / Scrap"/>
    <s v="Product"/>
  </r>
  <r>
    <x v="29"/>
    <s v="CAS6412867"/>
    <s v="Issue"/>
    <s v="Return / Replace / Scrap"/>
    <s v="Incorrect/Missing Product"/>
    <m/>
    <m/>
    <s v="Schlage Residential"/>
    <s v="Lock"/>
    <x v="1"/>
    <x v="1"/>
    <s v="SHORTAGE ON PO 6376454--NC REPLACE_x000a_LINE 34-QTY 8--LOCK.F51A.ACC.620.16-086.10-027.134.KA4.C.48-180.2_x000a_*****_x000a_Is there anything else we should know about your request?: received qty 8 extra of F51A-ACC-622 instead_x000a_Selected primary Product Type: Accessories_x000a_Do you also need to update the Ship To Address on your order?: No_x000a_The original ship-to address is saved on the shipping tab._x000a_Email: ashley.grant@bannersolutions.com_x000a_Phone Number: 8883620750_x000a_Preferred Contact Method: Email"/>
    <x v="10"/>
    <s v="14249172"/>
    <s v="6376454"/>
    <s v="8143480"/>
    <n v="34"/>
    <s v="Schlage Residential"/>
    <s v="Lock"/>
    <s v="F Handleset"/>
    <s v="Ensenada"/>
    <n v="8"/>
    <s v="0281033~Allegion Sent Incorrect Product / Part"/>
    <s v="9721033~Incorrect Product|1036~Produit incorrect|1040~Prodotto errato"/>
    <m/>
    <s v="Product"/>
    <m/>
    <s v="043156420964"/>
    <m/>
    <m/>
    <m/>
    <n v="46047.791666666701"/>
    <m/>
    <m/>
    <s v="Replace Only"/>
    <s v="Resolved"/>
    <s v="Portal Cases"/>
    <s v="Jessica Cook"/>
    <s v="Residential - Channel"/>
    <s v="Schlage Residential Mechanical"/>
    <x v="7"/>
    <x v="8"/>
    <s v=""/>
    <s v="2026 / 02"/>
    <s v="Return / Replace / Scrap"/>
    <s v="Product"/>
  </r>
  <r>
    <x v="30"/>
    <s v="CAS6433534"/>
    <s v="Issue"/>
    <s v="Credit / Debit Request"/>
    <s v="Material Debit"/>
    <m/>
    <m/>
    <s v="Schlage Residential"/>
    <s v="Lock"/>
    <x v="2"/>
    <x v="1"/>
    <s v="2/17 SEE NOTE - CONFIRMATION FROM RSO TO CHANGE AMOUNTS _x000a__x000a_DEBIT REQUEST-OVERAGE- INVOICE 45688280 (ATTACHED)_x000a__x000a_LINE 36- LOCK.F10.AND.716.ADD..16-080.10-027.134 OVER AMOUNT QTY 56_x000a_DEBIT REQUEST $1,273.44_x000a__x000a_LINE 81- LOCK.F10.BWE.622.ADD..16-080.10-027.134 OVER AMOUNT QTY 8_x000a_DEBIT REQUEST $191.04_x000a_---------------------------------------------------------------------------------------------------------------------_x000a__x000a_Please issue the below debits/credits for shortages and overages reported by Ferguson. _x000a__x000a_Please note Debit memo should be emailed to apinvoices@ferguson.com."/>
    <x v="4"/>
    <s v="SO03244129"/>
    <s v="J533-1633"/>
    <s v="45688280"/>
    <n v="81"/>
    <s v="Schlage Residential"/>
    <s v="Lock"/>
    <s v="F Knob/Lever"/>
    <s v="Olathe"/>
    <n v="8"/>
    <s v="0641033~Allegion Shipped Incorrect Amount|1040~(Allegion) Spedito Valore/Q.tà Errato|3082~Allegion envió una cantidad incorrecta|1036~Allegion a expédié un montant incorrect"/>
    <s v="2251033~Overage|1036~Excédent|1040~Troppo Vecchio|3082~Exceso|1055~Geçkin"/>
    <m/>
    <s v="Shipping"/>
    <m/>
    <s v="043156516797"/>
    <m/>
    <m/>
    <m/>
    <n v="46058.791666666701"/>
    <m/>
    <m/>
    <s v="Debit Request"/>
    <s v="Resolved"/>
    <s v="Erika Harris"/>
    <s v="Erika Harris"/>
    <s v="Residential - Channel"/>
    <s v="Schlage Residential Mechanical"/>
    <x v="4"/>
    <x v="4"/>
    <s v=""/>
    <s v="2026 / 02"/>
    <s v="Credit / Debit Request"/>
    <s v="Product"/>
  </r>
  <r>
    <x v="30"/>
    <s v="CAS6433534"/>
    <s v="Issue"/>
    <s v="Credit / Debit Request"/>
    <s v="Material Debit"/>
    <m/>
    <m/>
    <s v="Schlage Residential"/>
    <s v="Lock"/>
    <x v="2"/>
    <x v="1"/>
    <s v="2/17 SEE NOTE - CONFIRMATION FROM RSO TO CHANGE AMOUNTS _x000a__x000a_DEBIT REQUEST-OVERAGE- INVOICE 45688280 (ATTACHED)_x000a__x000a_LINE 36- LOCK.F10.AND.716.ADD..16-080.10-027.134 OVER AMOUNT QTY 56_x000a_DEBIT REQUEST $1,273.44_x000a__x000a_LINE 81- LOCK.F10.BWE.622.ADD..16-080.10-027.134 OVER AMOUNT QTY 8_x000a_DEBIT REQUEST $191.04_x000a_---------------------------------------------------------------------------------------------------------------------_x000a__x000a_Please issue the below debits/credits for shortages and overages reported by Ferguson. _x000a__x000a_Please note Debit memo should be emailed to apinvoices@ferguson.com."/>
    <x v="4"/>
    <s v="SO03244129"/>
    <s v="J533-1633"/>
    <s v="45688280"/>
    <n v="36"/>
    <s v="Schlage Residential"/>
    <s v="Lock"/>
    <s v="F Knob/Lever"/>
    <s v="Olathe"/>
    <n v="56"/>
    <s v="0641033~Allegion Shipped Incorrect Amount|1040~(Allegion) Spedito Valore/Q.tà Errato|3082~Allegion envió una cantidad incorrecta|1036~Allegion a expédié un montant incorrect"/>
    <s v="2251033~Overage|1036~Excédent|1040~Troppo Vecchio|3082~Exceso|1055~Geçkin"/>
    <m/>
    <s v="Shipping"/>
    <m/>
    <s v="043156122288"/>
    <m/>
    <m/>
    <m/>
    <n v="46058.791666666701"/>
    <m/>
    <m/>
    <s v="Debit Request"/>
    <s v="Resolved"/>
    <s v="Erika Harris"/>
    <s v="Erika Harris"/>
    <s v="Residential - Channel"/>
    <s v="Schlage Residential Mechanical"/>
    <x v="4"/>
    <x v="4"/>
    <s v=""/>
    <s v="2026 / 02"/>
    <s v="Credit / Debit Request"/>
    <s v="Product"/>
  </r>
  <r>
    <x v="31"/>
    <s v="CAS6433504"/>
    <s v="Issue"/>
    <s v="Credit / Debit Request"/>
    <s v="Material Debit"/>
    <m/>
    <m/>
    <s v="Schlage Residential"/>
    <s v="Lock"/>
    <x v="2"/>
    <x v="1"/>
    <s v="$31.68 INVOICE PRICE X 8 = $253.44 DEBIT AMOUNT_x000a__x000a_DEBIT REQUEST-OVERAGE- INVOICE 45692286 (ATTACHED)_x000a__x000a_LINE 78- LOCK.F40.LAT.619.ADD..16-080.10-027.134 QTY RCVD OVER 8 _x000a_DEBIT AMOUNT: $238.00_x000a_---------------------------------------------------------------------------------------------------------------------_x000a__x000a_Please issue the below debits/credits for shortages and overages reported by Ferguson. _x000a__x000a_Please note Debit memo should be emailed to apinvoices@ferguson.com."/>
    <x v="4"/>
    <s v="SO03252181"/>
    <s v="J423-2542"/>
    <s v="45692286"/>
    <n v="78"/>
    <s v="Schlage Residential"/>
    <s v="Lock"/>
    <s v="F Knob/Lever"/>
    <s v="Olathe"/>
    <n v="8"/>
    <s v="0641033~Allegion Shipped Incorrect Amount|1040~(Allegion) Spedito Valore/Q.tà Errato|3082~Allegion envió una cantidad incorrecta|1036~Allegion a expédié un montant incorrect"/>
    <s v="2251033~Overage|1036~Excédent|1040~Troppo Vecchio|3082~Exceso|1055~Geçkin"/>
    <m/>
    <s v="Shipping"/>
    <m/>
    <s v="043156268047"/>
    <m/>
    <m/>
    <m/>
    <n v="46061.791666666701"/>
    <m/>
    <m/>
    <s v="Debit Request"/>
    <s v="Resolved"/>
    <s v="Erika Harris"/>
    <s v="Erika Harris"/>
    <s v="Residential - Channel"/>
    <s v="Schlage Residential Mechanical"/>
    <x v="4"/>
    <x v="4"/>
    <s v=""/>
    <s v="2026 / 02"/>
    <s v="Credit / Debit Request"/>
    <s v="Product"/>
  </r>
  <r>
    <x v="32"/>
    <s v="CAS6433470"/>
    <s v="Issue"/>
    <s v="Return / Replace / Scrap"/>
    <s v="Quantity"/>
    <m/>
    <m/>
    <s v="Schlage Residential"/>
    <s v="Lock"/>
    <x v="2"/>
    <x v="1"/>
    <s v="CREDIT REQUEST- INTERNAL USE ONLY- SHORTAGE FOR INVOICE 45692286 (ATTACHED)_x000a_TOTAL CREDIT REQUEST DUE: $266.00_x000a__x000a_LINE 12- LOCK.F40.BRW.622.COL..16-080.10-027.134 QTY 8_x000a_CREDIT REQUEST $266.00_x000a__x000a__x000a__x000a__x000a__x000a__x000a__x000a__x000a__x000a__x000a__x000a__x000a__x000a__x000a__x000a__x000a__x000a_ _x000a__x000a__x000a__x000a__x000a__x000a__x000a_--------------------------------------------------------------------------------------------------_x000a__x000a_Please issue the below debits/credits for shortages and overages reported by Ferguson."/>
    <x v="4"/>
    <s v="SO03252181"/>
    <s v="J423-2542"/>
    <s v="45692286"/>
    <n v="12"/>
    <s v="Schlage Residential"/>
    <s v="Lock"/>
    <s v="F Knob/Lever"/>
    <s v="Olathe"/>
    <n v="8"/>
    <s v="0641033~Allegion Shipped Incorrect Amount|1040~(Allegion) Spedito Valore/Q.tà Errato|3082~Allegion envió una cantidad incorrecta|1036~Allegion a expédié un montant incorrect"/>
    <s v="3251033~Shortage|1040~Mancanza|1055~Eksiklik|3082~Escaso|1036~Rupture"/>
    <m/>
    <s v="Shipping"/>
    <m/>
    <s v="194555031715"/>
    <m/>
    <m/>
    <m/>
    <n v="46061.791666666701"/>
    <m/>
    <m/>
    <s v="Credit Request"/>
    <s v="Resolved"/>
    <s v="Erika Harris"/>
    <s v="Erika Harris"/>
    <s v="Residential - Channel"/>
    <s v="Schlage Residential Mechanical"/>
    <x v="4"/>
    <x v="10"/>
    <s v=""/>
    <s v="2026 / 02"/>
    <s v="Return / Replace / Scrap"/>
    <s v="Product"/>
  </r>
  <r>
    <x v="33"/>
    <s v="CAS6433319"/>
    <s v="Issue"/>
    <s v="Return / Replace / Scrap"/>
    <s v="Quantity"/>
    <m/>
    <m/>
    <s v="Schlage Residential"/>
    <s v="Lock"/>
    <x v="2"/>
    <x v="1"/>
    <s v="CREDIT REQUEST- INTERNAL USE ONLY- SHORTAGE FOR INVOICE 45688280  (ATTACHED)_x000a_TOTAL CREDIT REQUEST DUE: $2,326.80_x000a__x000a_LINE 68- LOCK.F170.LAT.622.ADD..134 QTY 60_x000a_CREDIT REQUEST $882_x000a__x000a_LINE 81- LOCK.F40.BWE.622.ADD..16-080.10-027.134 QTY 8_x000a_CREDIT REQUEST $190.40_x000a__x000a_LINE 94- LOCK.F10.ACC.619.16-080.10-027.134 QTY 56_x000a_CREDIT REQUEST $1,254.40_x000a__x000a__x000a__x000a__x000a__x000a__x000a__x000a__x000a__x000a__x000a__x000a__x000a__x000a__x000a__x000a_ _x000a__x000a__x000a__x000a__x000a__x000a__x000a_--------------------------------------------------------------------------------------------------_x000a__x000a_Please issue the below debits/credits for shortages and overages reported by Ferguson."/>
    <x v="4"/>
    <s v="SO03244129"/>
    <s v="J533-1633"/>
    <s v="45688280"/>
    <n v="94"/>
    <s v="Schlage Residential"/>
    <s v="Lock"/>
    <s v="F Knob/Lever"/>
    <s v="Olathe"/>
    <n v="56"/>
    <s v="0641033~Allegion Shipped Incorrect Amount|1040~(Allegion) Spedito Valore/Q.tà Errato|3082~Allegion envió una cantidad incorrecta|1036~Allegion a expédié un montant incorrect"/>
    <s v="3251033~Shortage|1040~Mancanza|1055~Eksiklik|3082~Escaso|1036~Rupture"/>
    <m/>
    <s v="Shipping"/>
    <m/>
    <s v="043156793228"/>
    <m/>
    <m/>
    <m/>
    <n v="46058.791666666701"/>
    <m/>
    <m/>
    <s v="Credit Request"/>
    <s v="Resolved"/>
    <s v="Erika Harris"/>
    <s v="Erika Harris"/>
    <s v="Residential - Channel"/>
    <s v="Schlage Residential Mechanical"/>
    <x v="4"/>
    <x v="10"/>
    <s v=""/>
    <s v="2026 / 02"/>
    <s v="Return / Replace / Scrap"/>
    <s v="Product"/>
  </r>
  <r>
    <x v="33"/>
    <s v="CAS6433319"/>
    <s v="Issue"/>
    <s v="Return / Replace / Scrap"/>
    <s v="Quantity"/>
    <m/>
    <m/>
    <s v="Schlage Residential"/>
    <s v="Lock"/>
    <x v="2"/>
    <x v="1"/>
    <s v="CREDIT REQUEST- INTERNAL USE ONLY- SHORTAGE FOR INVOICE 45688280  (ATTACHED)_x000a_TOTAL CREDIT REQUEST DUE: $2,326.80_x000a__x000a_LINE 68- LOCK.F170.LAT.622.ADD..134 QTY 60_x000a_CREDIT REQUEST $882_x000a__x000a_LINE 81- LOCK.F40.BWE.622.ADD..16-080.10-027.134 QTY 8_x000a_CREDIT REQUEST $190.40_x000a__x000a_LINE 94- LOCK.F10.ACC.619.16-080.10-027.134 QTY 56_x000a_CREDIT REQUEST $1,254.40_x000a__x000a__x000a__x000a__x000a__x000a__x000a__x000a__x000a__x000a__x000a__x000a__x000a__x000a__x000a__x000a_ _x000a__x000a__x000a__x000a__x000a__x000a__x000a_--------------------------------------------------------------------------------------------------_x000a__x000a_Please issue the below debits/credits for shortages and overages reported by Ferguson."/>
    <x v="4"/>
    <s v="SO03244129"/>
    <s v="J533-1633"/>
    <s v="45688280"/>
    <n v="81"/>
    <s v="Schlage Residential"/>
    <s v="Lock"/>
    <s v="F Knob/Lever"/>
    <s v="Olathe"/>
    <n v="8"/>
    <s v="0641033~Allegion Shipped Incorrect Amount|1040~(Allegion) Spedito Valore/Q.tà Errato|3082~Allegion envió una cantidad incorrecta|1036~Allegion a expédié un montant incorrect"/>
    <s v="3251033~Shortage|1040~Mancanza|1055~Eksiklik|3082~Escaso|1036~Rupture"/>
    <m/>
    <s v="Shipping"/>
    <m/>
    <s v="043156505302"/>
    <m/>
    <m/>
    <m/>
    <n v="46058.791666666701"/>
    <m/>
    <m/>
    <s v="Credit Request"/>
    <s v="Resolved"/>
    <s v="Erika Harris"/>
    <s v="Erika Harris"/>
    <s v="Residential - Channel"/>
    <s v="Schlage Residential Mechanical"/>
    <x v="4"/>
    <x v="10"/>
    <s v=""/>
    <s v="2026 / 02"/>
    <s v="Return / Replace / Scrap"/>
    <s v="Product"/>
  </r>
  <r>
    <x v="33"/>
    <s v="CAS6433319"/>
    <s v="Issue"/>
    <s v="Return / Replace / Scrap"/>
    <s v="Quantity"/>
    <m/>
    <m/>
    <s v="Schlage Residential"/>
    <s v="Lock"/>
    <x v="2"/>
    <x v="1"/>
    <s v="CREDIT REQUEST- INTERNAL USE ONLY- SHORTAGE FOR INVOICE 45688280  (ATTACHED)_x000a_TOTAL CREDIT REQUEST DUE: $2,326.80_x000a__x000a_LINE 68- LOCK.F170.LAT.622.ADD..134 QTY 60_x000a_CREDIT REQUEST $882_x000a__x000a_LINE 81- LOCK.F40.BWE.622.ADD..16-080.10-027.134 QTY 8_x000a_CREDIT REQUEST $190.40_x000a__x000a_LINE 94- LOCK.F10.ACC.619.16-080.10-027.134 QTY 56_x000a_CREDIT REQUEST $1,254.40_x000a__x000a__x000a__x000a__x000a__x000a__x000a__x000a__x000a__x000a__x000a__x000a__x000a__x000a__x000a__x000a_ _x000a__x000a__x000a__x000a__x000a__x000a__x000a_--------------------------------------------------------------------------------------------------_x000a__x000a_Please issue the below debits/credits for shortages and overages reported by Ferguson."/>
    <x v="4"/>
    <s v="SO03244129"/>
    <s v="J533-1633"/>
    <s v="45688280"/>
    <n v="68"/>
    <s v="Schlage Residential"/>
    <s v="Lock"/>
    <s v="F Knob/Lever"/>
    <s v="Olathe"/>
    <n v="60"/>
    <s v="0641033~Allegion Shipped Incorrect Amount|1040~(Allegion) Spedito Valore/Q.tà Errato|3082~Allegion envió una cantidad incorrecta|1036~Allegion a expédié un montant incorrect"/>
    <s v="3251033~Shortage|1040~Mancanza|1055~Eksiklik|3082~Escaso|1036~Rupture"/>
    <m/>
    <s v="Shipping"/>
    <m/>
    <s v="043156481521"/>
    <m/>
    <m/>
    <m/>
    <n v="46058.791666666701"/>
    <m/>
    <m/>
    <s v="Credit Request"/>
    <s v="Resolved"/>
    <s v="Erika Harris"/>
    <s v="Erika Harris"/>
    <s v="Residential - Channel"/>
    <s v="Schlage Residential Mechanical"/>
    <x v="4"/>
    <x v="10"/>
    <s v=""/>
    <s v="2026 / 02"/>
    <s v="Return / Replace / Scrap"/>
    <s v="Product"/>
  </r>
  <r>
    <x v="34"/>
    <s v="CAS6433125"/>
    <s v="Issue"/>
    <s v="Return / Replace / Scrap"/>
    <s v="Quantity"/>
    <m/>
    <m/>
    <s v="Schlage Residential"/>
    <s v="Multiple"/>
    <x v="4"/>
    <x v="1"/>
    <s v="CREDIT REQUEST- INTERNAL USE ONLY- SHORTAGE FOR INVOICE 45684339  (ATTACHED)_x000a_TOTAL CREDIT REQUEST DUE: $1,323.35_x000a__x000a_LINE 56- LOCK.F40.LAT.619.16-080.10-027.134 QTY 8_x000a_CREDIT AMOUNT $187.60_x000a__x000a_LINE 72- LOCK.F40.VLA.619.16-080.10-027.134 QTY 7_x000a_CREDIT AMOUNT $129.85_x000a__x000a_LINE 128- LOCK.F10.PLY.716.16-080.10-027.134 QTY 20_x000a_CREDIT AMOUNT $252_x000a__x000a_LINE 134- LOCK.BE365.PLY.505.12-287.10-116.134.KD.C.48-180.1 QTY 5_x000a_CREDIT AMOUNT $479.50_x000a__x000a_LINE 60- LOCK.J10.SOL.716.16-254.10-101.134 QTY 16_x000a_CREDIT AMOUNT $274.40_x000a__x000a__x000a__x000a__x000a__x000a__x000a__x000a__x000a__x000a__x000a__x000a_ _x000a__x000a__x000a__x000a__x000a__x000a__x000a_--------------------------------------------------------------------------------------------------_x000a__x000a_Please issue the below debits/credits for shortages and overages reported by Ferguson."/>
    <x v="4"/>
    <s v="SO03244129"/>
    <s v="J423-1714"/>
    <s v="45684339"/>
    <n v="60"/>
    <s v="Schlage Residential"/>
    <s v="Multiple"/>
    <s v="Multiple"/>
    <s v="Olathe"/>
    <n v="16"/>
    <s v="0641033~Allegion Shipped Incorrect Amount|1040~(Allegion) Spedito Valore/Q.tà Errato|3082~Allegion envió una cantidad incorrecta|1036~Allegion a expédié un montant incorrect"/>
    <s v="3251033~Shortage|1040~Mancanza|1055~Eksiklik|3082~Escaso|1036~Rupture"/>
    <m/>
    <s v="Shipping"/>
    <m/>
    <s v="043156195220"/>
    <m/>
    <m/>
    <m/>
    <n v="46054.791666666701"/>
    <m/>
    <m/>
    <s v="Credit Request"/>
    <s v="Resolved"/>
    <s v="Erika Harris"/>
    <s v="Erika Harris"/>
    <s v="Residential - Channel"/>
    <s v="Schlage Residential Mechanical"/>
    <x v="4"/>
    <x v="10"/>
    <s v=""/>
    <s v="2026 / 02"/>
    <s v="Return / Replace / Scrap"/>
    <s v="Product"/>
  </r>
  <r>
    <x v="34"/>
    <s v="CAS6433125"/>
    <s v="Issue"/>
    <s v="Return / Replace / Scrap"/>
    <s v="Quantity"/>
    <m/>
    <m/>
    <s v="Schlage Residential"/>
    <s v="Multiple"/>
    <x v="4"/>
    <x v="1"/>
    <s v="CREDIT REQUEST- INTERNAL USE ONLY- SHORTAGE FOR INVOICE 45684339  (ATTACHED)_x000a_TOTAL CREDIT REQUEST DUE: $1,323.35_x000a__x000a_LINE 56- LOCK.F40.LAT.619.16-080.10-027.134 QTY 8_x000a_CREDIT AMOUNT $187.60_x000a__x000a_LINE 72- LOCK.F40.VLA.619.16-080.10-027.134 QTY 7_x000a_CREDIT AMOUNT $129.85_x000a__x000a_LINE 128- LOCK.F10.PLY.716.16-080.10-027.134 QTY 20_x000a_CREDIT AMOUNT $252_x000a__x000a_LINE 134- LOCK.BE365.PLY.505.12-287.10-116.134.KD.C.48-180.1 QTY 5_x000a_CREDIT AMOUNT $479.50_x000a__x000a_LINE 60- LOCK.J10.SOL.716.16-254.10-101.134 QTY 16_x000a_CREDIT AMOUNT $274.40_x000a__x000a__x000a__x000a__x000a__x000a__x000a__x000a__x000a__x000a__x000a__x000a_ _x000a__x000a__x000a__x000a__x000a__x000a__x000a_--------------------------------------------------------------------------------------------------_x000a__x000a_Please issue the below debits/credits for shortages and overages reported by Ferguson."/>
    <x v="4"/>
    <s v="SO03244129"/>
    <s v="J423-1714"/>
    <s v="45684339"/>
    <n v="134"/>
    <s v="Schlage Residential"/>
    <s v="Multiple"/>
    <s v="Multiple"/>
    <s v="Olathe"/>
    <n v="5"/>
    <s v="0641033~Allegion Shipped Incorrect Amount|1040~(Allegion) Spedito Valore/Q.tà Errato|3082~Allegion envió una cantidad incorrecta|1036~Allegion a expédié un montant incorrect"/>
    <s v="3251033~Shortage|1040~Mancanza|1055~Eksiklik|3082~Escaso|1036~Rupture"/>
    <m/>
    <s v="Shipping"/>
    <m/>
    <s v="043156894567"/>
    <m/>
    <m/>
    <m/>
    <n v="46054.791666666701"/>
    <m/>
    <m/>
    <s v="Credit Request"/>
    <s v="Resolved"/>
    <s v="Erika Harris"/>
    <s v="Erika Harris"/>
    <s v="Residential - Channel"/>
    <s v="Schlage Residential Mechanical"/>
    <x v="4"/>
    <x v="10"/>
    <s v=""/>
    <s v="2026 / 02"/>
    <s v="Return / Replace / Scrap"/>
    <s v="Product"/>
  </r>
  <r>
    <x v="34"/>
    <s v="CAS6433125"/>
    <s v="Issue"/>
    <s v="Return / Replace / Scrap"/>
    <s v="Quantity"/>
    <m/>
    <m/>
    <s v="Schlage Residential"/>
    <s v="Multiple"/>
    <x v="4"/>
    <x v="1"/>
    <s v="CREDIT REQUEST- INTERNAL USE ONLY- SHORTAGE FOR INVOICE 45684339  (ATTACHED)_x000a_TOTAL CREDIT REQUEST DUE: $1,323.35_x000a__x000a_LINE 56- LOCK.F40.LAT.619.16-080.10-027.134 QTY 8_x000a_CREDIT AMOUNT $187.60_x000a__x000a_LINE 72- LOCK.F40.VLA.619.16-080.10-027.134 QTY 7_x000a_CREDIT AMOUNT $129.85_x000a__x000a_LINE 128- LOCK.F10.PLY.716.16-080.10-027.134 QTY 20_x000a_CREDIT AMOUNT $252_x000a__x000a_LINE 134- LOCK.BE365.PLY.505.12-287.10-116.134.KD.C.48-180.1 QTY 5_x000a_CREDIT AMOUNT $479.50_x000a__x000a_LINE 60- LOCK.J10.SOL.716.16-254.10-101.134 QTY 16_x000a_CREDIT AMOUNT $274.40_x000a__x000a__x000a__x000a__x000a__x000a__x000a__x000a__x000a__x000a__x000a__x000a_ _x000a__x000a__x000a__x000a__x000a__x000a__x000a_--------------------------------------------------------------------------------------------------_x000a__x000a_Please issue the below debits/credits for shortages and overages reported by Ferguson."/>
    <x v="4"/>
    <s v="SO03244129"/>
    <s v="J423-1714"/>
    <s v="45684339"/>
    <n v="128"/>
    <s v="Schlage Residential"/>
    <s v="Multiple"/>
    <s v="Multiple"/>
    <s v="Olathe"/>
    <n v="20"/>
    <s v="0641033~Allegion Shipped Incorrect Amount|1040~(Allegion) Spedito Valore/Q.tà Errato|3082~Allegion envió una cantidad incorrecta|1036~Allegion a expédié un montant incorrect"/>
    <s v="3251033~Shortage|1040~Mancanza|1055~Eksiklik|3082~Escaso|1036~Rupture"/>
    <m/>
    <s v="Shipping"/>
    <m/>
    <s v="043156890453"/>
    <m/>
    <m/>
    <m/>
    <n v="46054.791666666701"/>
    <m/>
    <m/>
    <s v="Credit Request"/>
    <s v="Resolved"/>
    <s v="Erika Harris"/>
    <s v="Erika Harris"/>
    <s v="Residential - Channel"/>
    <s v="Schlage Residential Mechanical"/>
    <x v="4"/>
    <x v="10"/>
    <s v=""/>
    <s v="2026 / 02"/>
    <s v="Return / Replace / Scrap"/>
    <s v="Product"/>
  </r>
  <r>
    <x v="34"/>
    <s v="CAS6433125"/>
    <s v="Issue"/>
    <s v="Return / Replace / Scrap"/>
    <s v="Quantity"/>
    <m/>
    <m/>
    <s v="Schlage Residential"/>
    <s v="Multiple"/>
    <x v="4"/>
    <x v="1"/>
    <s v="CREDIT REQUEST- INTERNAL USE ONLY- SHORTAGE FOR INVOICE 45684339  (ATTACHED)_x000a_TOTAL CREDIT REQUEST DUE: $1,323.35_x000a__x000a_LINE 56- LOCK.F40.LAT.619.16-080.10-027.134 QTY 8_x000a_CREDIT AMOUNT $187.60_x000a__x000a_LINE 72- LOCK.F40.VLA.619.16-080.10-027.134 QTY 7_x000a_CREDIT AMOUNT $129.85_x000a__x000a_LINE 128- LOCK.F10.PLY.716.16-080.10-027.134 QTY 20_x000a_CREDIT AMOUNT $252_x000a__x000a_LINE 134- LOCK.BE365.PLY.505.12-287.10-116.134.KD.C.48-180.1 QTY 5_x000a_CREDIT AMOUNT $479.50_x000a__x000a_LINE 60- LOCK.J10.SOL.716.16-254.10-101.134 QTY 16_x000a_CREDIT AMOUNT $274.40_x000a__x000a__x000a__x000a__x000a__x000a__x000a__x000a__x000a__x000a__x000a__x000a_ _x000a__x000a__x000a__x000a__x000a__x000a__x000a_--------------------------------------------------------------------------------------------------_x000a__x000a_Please issue the below debits/credits for shortages and overages reported by Ferguson."/>
    <x v="4"/>
    <s v="SO03244129"/>
    <s v="J423-1714"/>
    <s v="45684339"/>
    <n v="72"/>
    <s v="Schlage Residential"/>
    <s v="Multiple"/>
    <s v="Multiple"/>
    <s v="Olathe"/>
    <n v="7"/>
    <s v="0641033~Allegion Shipped Incorrect Amount|1040~(Allegion) Spedito Valore/Q.tà Errato|3082~Allegion envió una cantidad incorrecta|1036~Allegion a expédié un montant incorrect"/>
    <s v="3251033~Shortage|1040~Mancanza|1055~Eksiklik|3082~Escaso|1036~Rupture"/>
    <m/>
    <s v="Shipping"/>
    <m/>
    <s v="043156330508"/>
    <m/>
    <m/>
    <m/>
    <n v="46054.791666666701"/>
    <m/>
    <m/>
    <s v="Credit Request"/>
    <s v="Resolved"/>
    <s v="Erika Harris"/>
    <s v="Erika Harris"/>
    <s v="Residential - Channel"/>
    <s v="Schlage Residential Mechanical"/>
    <x v="4"/>
    <x v="10"/>
    <s v=""/>
    <s v="2026 / 02"/>
    <s v="Return / Replace / Scrap"/>
    <s v="Product"/>
  </r>
  <r>
    <x v="34"/>
    <s v="CAS6433125"/>
    <s v="Issue"/>
    <s v="Return / Replace / Scrap"/>
    <s v="Quantity"/>
    <m/>
    <m/>
    <s v="Schlage Residential"/>
    <s v="Multiple"/>
    <x v="4"/>
    <x v="1"/>
    <s v="CREDIT REQUEST- INTERNAL USE ONLY- SHORTAGE FOR INVOICE 45684339  (ATTACHED)_x000a_TOTAL CREDIT REQUEST DUE: $1,323.35_x000a__x000a_LINE 56- LOCK.F40.LAT.619.16-080.10-027.134 QTY 8_x000a_CREDIT AMOUNT $187.60_x000a__x000a_LINE 72- LOCK.F40.VLA.619.16-080.10-027.134 QTY 7_x000a_CREDIT AMOUNT $129.85_x000a__x000a_LINE 128- LOCK.F10.PLY.716.16-080.10-027.134 QTY 20_x000a_CREDIT AMOUNT $252_x000a__x000a_LINE 134- LOCK.BE365.PLY.505.12-287.10-116.134.KD.C.48-180.1 QTY 5_x000a_CREDIT AMOUNT $479.50_x000a__x000a_LINE 60- LOCK.J10.SOL.716.16-254.10-101.134 QTY 16_x000a_CREDIT AMOUNT $274.40_x000a__x000a__x000a__x000a__x000a__x000a__x000a__x000a__x000a__x000a__x000a__x000a_ _x000a__x000a__x000a__x000a__x000a__x000a__x000a_--------------------------------------------------------------------------------------------------_x000a__x000a_Please issue the below debits/credits for shortages and overages reported by Ferguson."/>
    <x v="4"/>
    <s v="SO03244129"/>
    <s v="J423-1714"/>
    <s v="45684339"/>
    <n v="56"/>
    <s v="Schlage Residential"/>
    <s v="Multiple"/>
    <s v="Multiple"/>
    <s v="Olathe"/>
    <n v="8"/>
    <s v="0641033~Allegion Shipped Incorrect Amount|1040~(Allegion) Spedito Valore/Q.tà Errato|3082~Allegion envió una cantidad incorrecta|1036~Allegion a expédié un montant incorrect"/>
    <s v="3251033~Shortage|1040~Mancanza|1055~Eksiklik|3082~Escaso|1036~Rupture"/>
    <m/>
    <s v="Shipping"/>
    <m/>
    <s v="043156184668"/>
    <m/>
    <m/>
    <m/>
    <n v="46054.791666666701"/>
    <m/>
    <m/>
    <s v="Credit Request"/>
    <s v="Resolved"/>
    <s v="Erika Harris"/>
    <s v="Erika Harris"/>
    <s v="Residential - Channel"/>
    <s v="Schlage Residential Mechanical"/>
    <x v="4"/>
    <x v="10"/>
    <s v=""/>
    <s v="2026 / 02"/>
    <s v="Return / Replace / Scrap"/>
    <s v="Product"/>
  </r>
  <r>
    <x v="35"/>
    <s v="CAS6433000"/>
    <s v="Issue"/>
    <s v="Return / Replace / Scrap"/>
    <s v="Quantity"/>
    <m/>
    <m/>
    <s v="Schlage Residential"/>
    <s v="Lock"/>
    <x v="2"/>
    <x v="0"/>
    <s v="CREDIT REQUEST- INTERNAL USE ONLY- SHORTAGE FOR INVOICE 45675079 (ATTACHED)_x000a__x000a_LINE 37- LOCK.F10.MER.716.16-080.10-027.134 QTY 8_x000a_CREDIT REQUEST AMOUNT= $179.20_x000a__x000a_LINE 42- LOCK.F10.PLY.622.ADD..16-080.10-027.134 QTY 8_x000a_CREDIT REQUEST AMOUNT= $151.20_x000a__x000a_TOTAL CREDIT REQUESTED:  $330.40 _x000a_--------------------------------------------------------------------------------------------------_x000a__x000a_Please issue the below debits/credits for shortages and overages reported by Ferguson. _x000a__x000a_Please note Debit memo should be emailed to apinvoices@ferguson.com."/>
    <x v="4"/>
    <s v="SO03198381"/>
    <s v="J321-630"/>
    <s v="45675079"/>
    <n v="42"/>
    <s v="Schlage Residential"/>
    <s v="Lock"/>
    <s v="F Knob/Lever"/>
    <s v="Ensenada"/>
    <n v="8"/>
    <s v="0641033~Allegion Shipped Incorrect Amount|1040~(Allegion) Spedito Valore/Q.tà Errato|3082~Allegion envió una cantidad incorrecta|1036~Allegion a expédié un montant incorrect"/>
    <s v="3251033~Shortage|1040~Mancanza|1055~Eksiklik|3082~Escaso|1036~Rupture"/>
    <m/>
    <s v="Shipping"/>
    <m/>
    <s v="043156340255"/>
    <m/>
    <m/>
    <m/>
    <n v="46050.791666666701"/>
    <m/>
    <m/>
    <s v="Credit Request"/>
    <s v="Resolved"/>
    <s v="Erika Harris"/>
    <s v="Erika Harris"/>
    <s v="Residential - Channel"/>
    <s v="Schlage Residential Mechanical"/>
    <x v="4"/>
    <x v="10"/>
    <s v=""/>
    <s v="2026 / 02"/>
    <s v="Return / Replace / Scrap"/>
    <s v="Product"/>
  </r>
  <r>
    <x v="35"/>
    <s v="CAS6433000"/>
    <s v="Issue"/>
    <s v="Return / Replace / Scrap"/>
    <s v="Quantity"/>
    <m/>
    <m/>
    <s v="Schlage Residential"/>
    <s v="Lock"/>
    <x v="2"/>
    <x v="0"/>
    <s v="CREDIT REQUEST- INTERNAL USE ONLY- SHORTAGE FOR INVOICE 45675079 (ATTACHED)_x000a__x000a_LINE 37- LOCK.F10.MER.716.16-080.10-027.134 QTY 8_x000a_CREDIT REQUEST AMOUNT= $179.20_x000a__x000a_LINE 42- LOCK.F10.PLY.622.ADD..16-080.10-027.134 QTY 8_x000a_CREDIT REQUEST AMOUNT= $151.20_x000a__x000a_TOTAL CREDIT REQUESTED:  $330.40 _x000a_--------------------------------------------------------------------------------------------------_x000a__x000a_Please issue the below debits/credits for shortages and overages reported by Ferguson. _x000a__x000a_Please note Debit memo should be emailed to apinvoices@ferguson.com."/>
    <x v="4"/>
    <s v="SO03198381"/>
    <s v="J321-630"/>
    <s v="45675079"/>
    <n v="37"/>
    <s v="Schlage Residential"/>
    <s v="Lock"/>
    <s v="F Knob/Lever"/>
    <s v="Ensenada"/>
    <n v="8"/>
    <s v="0641033~Allegion Shipped Incorrect Amount|1040~(Allegion) Spedito Valore/Q.tà Errato|3082~Allegion envió una cantidad incorrecta|1036~Allegion a expédié un montant incorrect"/>
    <s v="3251033~Shortage|1040~Mancanza|1055~Eksiklik|3082~Escaso|1036~Rupture"/>
    <m/>
    <s v="Shipping"/>
    <m/>
    <s v="043156225040"/>
    <m/>
    <m/>
    <m/>
    <n v="46050.791666666701"/>
    <m/>
    <m/>
    <s v="Credit Request"/>
    <s v="Resolved"/>
    <s v="Erika Harris"/>
    <s v="Erika Harris"/>
    <s v="Residential - Channel"/>
    <s v="Schlage Residential Mechanical"/>
    <x v="4"/>
    <x v="10"/>
    <s v=""/>
    <s v="2026 / 02"/>
    <s v="Return / Replace / Scrap"/>
    <s v="Product"/>
  </r>
  <r>
    <x v="36"/>
    <s v="CAS6453409"/>
    <s v="Issue"/>
    <s v="Return / Replace / Scrap"/>
    <s v="Incorrect/Missing Product"/>
    <m/>
    <m/>
    <s v="Schlage Residential"/>
    <s v="Lock"/>
    <x v="2"/>
    <x v="0"/>
    <s v="NC RPL-SHORTAGE_x000a_LINE 1-LOCK.F51A.ACC.619.16-086.10-027.134.KD.C.48-180.2 QTY 1_x000a__x000a_SHIP TO: 171900_x000a_7365 ALLENTOWN BLVD_x000a_HARRISBURG, PA 17112"/>
    <x v="18"/>
    <s v="14271023"/>
    <s v="94468"/>
    <s v="8166505"/>
    <n v="1"/>
    <s v="Schlage Residential"/>
    <s v="Lock"/>
    <s v="F Knob/Lever"/>
    <s v="Ensenada"/>
    <n v="1"/>
    <s v="0213082~Allegion no envió un producto/pieza|1040~(Alle) Spedito Articolo/Componente mancante|1036~Allegion a envoyé un produit ou une pièce manquante|1033~Allegion Sent Missing Product / Part"/>
    <s v="9741040~Prodotto Mancante|1033~Missing Product|1036~Produit manquant"/>
    <m/>
    <s v="Product"/>
    <m/>
    <s v="043156420629"/>
    <m/>
    <m/>
    <m/>
    <n v="46075.791666666701"/>
    <m/>
    <m/>
    <s v="Replace Only"/>
    <s v="Resolved"/>
    <s v="Erika Harris"/>
    <s v="Erika Harris"/>
    <s v="Residential - Channel"/>
    <s v="Schlage Residential Mechanical"/>
    <x v="9"/>
    <x v="11"/>
    <s v=""/>
    <s v="2026 / 02"/>
    <s v="Return / Replace / Scrap"/>
    <s v="Product"/>
  </r>
  <r>
    <x v="37"/>
    <s v="CAS6436344"/>
    <s v="Issue"/>
    <s v="Return / Replace / Scrap"/>
    <s v="Quantity"/>
    <m/>
    <m/>
    <s v="Schlage Residential"/>
    <s v="Lock"/>
    <x v="1"/>
    <x v="1"/>
    <s v="CREDIT FOR CONCEALED SHORTAGE_x000a__x000a_CREDIT OPEN BALANCE : $201.86_x000a__x000a_IFC SHIPMENT_x000a__x000a_CARRIER : USA"/>
    <x v="9"/>
    <s v="SO03211934"/>
    <s v="1086872325"/>
    <s v="4563502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7.791666666701"/>
    <m/>
    <m/>
    <s v="Credit Request"/>
    <s v="Resolved"/>
    <s v="Vicki Y Pleak"/>
    <s v="Vicki Y Pleak"/>
    <s v="Commercial"/>
    <s v="Schlage Residential Mechanical"/>
    <x v="4"/>
    <x v="10"/>
    <s v=""/>
    <s v="2026 / 02"/>
    <s v="Return / Replace / Scrap"/>
    <s v="Product"/>
  </r>
  <r>
    <x v="38"/>
    <s v="CAS6436311"/>
    <s v="Issue"/>
    <s v="Return / Replace / Scrap"/>
    <s v="Quantity"/>
    <m/>
    <m/>
    <s v="Schlage Residential"/>
    <s v="Lock"/>
    <x v="1"/>
    <x v="1"/>
    <s v="CREDIT FOR CONCEALED SHORTAGE_x000a__x000a_CREDIT OPEN BALANCE : $349.76_x000a__x000a_IFC SHIPMENT_x000a__x000a_CARRIER : USA"/>
    <x v="9"/>
    <s v="SO03207359"/>
    <s v="1085503938"/>
    <s v="45629336"/>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2.791666666701"/>
    <m/>
    <m/>
    <s v="Credit Request"/>
    <s v="Resolved"/>
    <s v="Vicki Y Pleak"/>
    <s v="Vicki Y Pleak"/>
    <s v="Commercial"/>
    <s v="Schlage Residential Mechanical"/>
    <x v="4"/>
    <x v="10"/>
    <s v=""/>
    <s v="2026 / 02"/>
    <s v="Return / Replace / Scrap"/>
    <s v="Product"/>
  </r>
  <r>
    <x v="39"/>
    <s v="CAS6436284"/>
    <s v="Issue"/>
    <s v="Return / Replace / Scrap"/>
    <s v="Quantity"/>
    <m/>
    <m/>
    <s v="Schlage Residential"/>
    <s v="Lock"/>
    <x v="1"/>
    <x v="1"/>
    <s v="CREDIT FOR CONCEALED SHORTAGE_x000a__x000a_CREDIT OPEN BALANCE : $210.02_x000a__x000a_IFC SHIPMENT_x000a__x000a_CARRIER : USA"/>
    <x v="9"/>
    <s v="SO03202385"/>
    <s v="1084091699"/>
    <s v="4562320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9.791666666701"/>
    <m/>
    <m/>
    <s v="Credit Request"/>
    <s v="Resolved"/>
    <s v="Vicki Y Pleak"/>
    <s v="Vicki Y Pleak"/>
    <s v="Commercial"/>
    <s v="Schlage Residential Mechanical"/>
    <x v="4"/>
    <x v="10"/>
    <s v=""/>
    <s v="2026 / 02"/>
    <s v="Return / Replace / Scrap"/>
    <s v="Product"/>
  </r>
  <r>
    <x v="40"/>
    <s v="CAS6436254"/>
    <s v="Issue"/>
    <s v="Return / Replace / Scrap"/>
    <s v="Quantity"/>
    <m/>
    <m/>
    <s v="Schlage Residential"/>
    <s v="Lock"/>
    <x v="1"/>
    <x v="1"/>
    <s v="CREDIT FOR CONCEALED SHORTAGE_x000a__x000a_CREDIT OPEN BALANCE : $936.22_x000a__x000a_IFC SHIPMENT_x000a__x000a_CARRIER : USA"/>
    <x v="9"/>
    <s v="SO03200830"/>
    <s v="1083754427"/>
    <s v="4562141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8.791666666701"/>
    <m/>
    <m/>
    <s v="Credit Request"/>
    <s v="Resolved"/>
    <s v="Vicki Y Pleak"/>
    <s v="Vicki Y Pleak"/>
    <s v="Commercial"/>
    <s v="Schlage Residential Mechanical"/>
    <x v="4"/>
    <x v="10"/>
    <s v=""/>
    <s v="2026 / 02"/>
    <s v="Return / Replace / Scrap"/>
    <s v="Product"/>
  </r>
  <r>
    <x v="41"/>
    <s v="CAS6436226"/>
    <s v="Issue"/>
    <s v="Return / Replace / Scrap"/>
    <s v="Quantity"/>
    <m/>
    <m/>
    <s v="Schlage Residential"/>
    <s v="Lock"/>
    <x v="1"/>
    <x v="1"/>
    <s v="CREDIT FOR CONCEALED SHORTAGE_x000a__x000a_CREDIT OPEN BALANCE : $237.36_x000a__x000a_IFC SHIPMENT_x000a__x000a_CARRIER : USA"/>
    <x v="9"/>
    <s v="SO03200829"/>
    <s v="1083754342"/>
    <s v="45620896"/>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8.791666666701"/>
    <m/>
    <m/>
    <s v="Credit Request"/>
    <s v="Resolved"/>
    <s v="Vicki Y Pleak"/>
    <s v="Vicki Y Pleak"/>
    <s v="Commercial"/>
    <s v="Schlage Residential Mechanical"/>
    <x v="4"/>
    <x v="10"/>
    <s v=""/>
    <s v="2026 / 02"/>
    <s v="Return / Replace / Scrap"/>
    <s v="Product"/>
  </r>
  <r>
    <x v="42"/>
    <s v="CAS6436174"/>
    <s v="Issue"/>
    <s v="Return / Replace / Scrap"/>
    <s v="Quantity"/>
    <m/>
    <m/>
    <s v="Schlage Residential"/>
    <s v="Lock"/>
    <x v="1"/>
    <x v="1"/>
    <s v="CREDIT FOR CONCEALED SHORTAGE_x000a__x000a_CREDIT OPEN BALANCE : $213.06_x000a__x000a_IFC SHIPMENT_x000a__x000a_CARRIER : USA"/>
    <x v="9"/>
    <s v="SO03199290"/>
    <s v="1083383355"/>
    <s v="4561842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5.791666666701"/>
    <m/>
    <m/>
    <s v="Credit Request"/>
    <s v="Resolved"/>
    <s v="Vicki Y Pleak"/>
    <s v="Vicki Y Pleak"/>
    <s v="Commercial"/>
    <s v="Schlage Residential Mechanical"/>
    <x v="4"/>
    <x v="10"/>
    <s v=""/>
    <s v="2026 / 02"/>
    <s v="Return / Replace / Scrap"/>
    <s v="Product"/>
  </r>
  <r>
    <x v="43"/>
    <s v="CAS6436150"/>
    <s v="Issue"/>
    <s v="Return / Replace / Scrap"/>
    <s v="Quantity"/>
    <m/>
    <m/>
    <s v="Schlage Residential"/>
    <s v="Lock"/>
    <x v="1"/>
    <x v="1"/>
    <s v="CREDIT FOR CONCEALED SHORTAGE_x000a__x000a_CREDIT OPEN BALANCE : $211.52_x000a__x000a_IFC SHIPMENT_x000a__x000a_CARRIER : USA"/>
    <x v="9"/>
    <s v="SO03193973"/>
    <s v="1081850665"/>
    <s v="45613796"/>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3.791666666701"/>
    <m/>
    <m/>
    <s v="Credit Request"/>
    <s v="Resolved"/>
    <s v="Vicki Y Pleak"/>
    <s v="Vicki Y Pleak"/>
    <s v="Commercial"/>
    <s v="Schlage Residential Mechanical"/>
    <x v="4"/>
    <x v="10"/>
    <s v=""/>
    <s v="2026 / 02"/>
    <s v="Return / Replace / Scrap"/>
    <s v="Product"/>
  </r>
  <r>
    <x v="44"/>
    <s v="CAS6436123"/>
    <s v="Issue"/>
    <s v="Return / Replace / Scrap"/>
    <s v="Quantity"/>
    <m/>
    <m/>
    <s v="Schlage Residential"/>
    <s v="Lock"/>
    <x v="1"/>
    <x v="1"/>
    <s v="CREDIT FOR CONCEALED SHORTAGE_x000a__x000a_CREDIT OPEN BALANCE : $227.81_x000a__x000a_IFC SHIPMENT_x000a__x000a_CARRIER : USA"/>
    <x v="9"/>
    <s v="SO03193972"/>
    <s v="1081845433"/>
    <s v="45611763"/>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2.791666666701"/>
    <m/>
    <m/>
    <s v="Credit Request"/>
    <s v="Resolved"/>
    <s v="Vicki Y Pleak"/>
    <s v="Vicki Y Pleak"/>
    <s v="Commercial"/>
    <s v="Schlage Residential Mechanical"/>
    <x v="4"/>
    <x v="10"/>
    <s v=""/>
    <s v="2026 / 02"/>
    <s v="Return / Replace / Scrap"/>
    <s v="Product"/>
  </r>
  <r>
    <x v="45"/>
    <s v="CAS6436083"/>
    <s v="Issue"/>
    <s v="Return / Replace / Scrap"/>
    <s v="Quantity"/>
    <m/>
    <m/>
    <s v="Schlage Residential"/>
    <s v="Lock"/>
    <x v="1"/>
    <x v="1"/>
    <s v="CREDIT FOR CONCEALED SHORTAGE_x000a__x000a_CREDIT OPEN BALANCE : $261.41_x000a__x000a_IFC SHIPMENT_x000a__x000a_CARRIER : USA"/>
    <x v="9"/>
    <s v="SO03193970"/>
    <s v="1081843355"/>
    <s v="4561160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2.791666666701"/>
    <m/>
    <m/>
    <s v="Credit Request"/>
    <s v="Resolved"/>
    <s v="Vicki Y Pleak"/>
    <s v="Vicki Y Pleak"/>
    <s v="Commercial"/>
    <s v="Schlage Residential Mechanical"/>
    <x v="4"/>
    <x v="10"/>
    <s v=""/>
    <s v="2026 / 02"/>
    <s v="Return / Replace / Scrap"/>
    <s v="Product"/>
  </r>
  <r>
    <x v="46"/>
    <s v="CAS6436043"/>
    <s v="Issue"/>
    <s v="Return / Replace / Scrap"/>
    <s v="Quantity"/>
    <m/>
    <m/>
    <s v="Schlage Residential"/>
    <s v="Lock"/>
    <x v="1"/>
    <x v="1"/>
    <s v="CREDIT FOR CONCEALED SHORTAGE_x000a__x000a_CREDIT OPEN BALANCE : $292.43_x000a__x000a_IFC SHIPMENT_x000a__x000a_CARRIER : USA"/>
    <x v="9"/>
    <s v="SO03190811"/>
    <s v="1081099194"/>
    <s v="45610146"/>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1.791666666701"/>
    <m/>
    <m/>
    <s v="Credit Request"/>
    <s v="Resolved"/>
    <s v="Vicki Y Pleak"/>
    <s v="Vicki Y Pleak"/>
    <s v="Commercial"/>
    <s v="Schlage Residential Mechanical"/>
    <x v="4"/>
    <x v="10"/>
    <s v=""/>
    <s v="2026 / 02"/>
    <s v="Return / Replace / Scrap"/>
    <s v="Product"/>
  </r>
  <r>
    <x v="47"/>
    <s v="CAS6436011"/>
    <s v="Issue"/>
    <s v="Return / Replace / Scrap"/>
    <s v="Quantity"/>
    <m/>
    <m/>
    <s v="Schlage Residential"/>
    <s v="Lock"/>
    <x v="1"/>
    <x v="1"/>
    <s v="CREDIT FOR CONCEALED SHORTAGE_x000a__x000a_CREDIT OPEN BALANCE : $239.71_x000a__x000a_IFC SHIPMENT_x000a__x000a_CARRIER : USA"/>
    <x v="9"/>
    <s v="SO03188916"/>
    <s v="1080396464"/>
    <s v="4560550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5.791666666701"/>
    <m/>
    <m/>
    <s v="Credit Request"/>
    <s v="Resolved"/>
    <s v="Vicki Y Pleak"/>
    <s v="Vicki Y Pleak"/>
    <s v="Commercial"/>
    <s v="Schlage Residential Mechanical"/>
    <x v="4"/>
    <x v="10"/>
    <s v=""/>
    <s v="2026 / 02"/>
    <s v="Return / Replace / Scrap"/>
    <s v="Product"/>
  </r>
  <r>
    <x v="48"/>
    <s v="CAS6435947"/>
    <s v="Issue"/>
    <s v="Return / Replace / Scrap"/>
    <s v="Quantity"/>
    <m/>
    <m/>
    <s v="Schlage Residential"/>
    <s v="Lock"/>
    <x v="1"/>
    <x v="1"/>
    <s v="CREDIT FOR CONCEALED SHORTAGE_x000a__x000a_CREDIT OPEN BALANCE $374.44_x000a__x000a_PRODUCT AUTHORITY SHIPMENT_x000a__x000a_CARRIER :  R&amp;L"/>
    <x v="9"/>
    <s v="14223345"/>
    <s v="1081777819"/>
    <s v="809007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8.791666666701"/>
    <m/>
    <m/>
    <s v="Credit Request"/>
    <s v="Resolved"/>
    <s v="Vicki Y Pleak"/>
    <s v="Vicki Y Pleak"/>
    <s v="Commercial"/>
    <s v="Schlage Residential Mechanical"/>
    <x v="4"/>
    <x v="10"/>
    <s v=""/>
    <s v="2026 / 02"/>
    <s v="Return / Replace / Scrap"/>
    <s v="Product"/>
  </r>
  <r>
    <x v="49"/>
    <s v="CAS6435916"/>
    <s v="Issue"/>
    <s v="Return / Replace / Scrap"/>
    <s v="Quantity"/>
    <m/>
    <m/>
    <s v="Schlage Residential"/>
    <s v="Lock"/>
    <x v="1"/>
    <x v="1"/>
    <s v="CREDIT FOR CONCEALED SHORTAGE_x000a__x000a_CREDIT OPEN BALANCE $691.60_x000a__x000a_PRODUCT AUTHORITY SHIPMENT_x000a__x000a_CARRIER :  R&amp;L"/>
    <x v="9"/>
    <s v="14218778"/>
    <s v="1079697536"/>
    <s v="8087393"/>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6.791666666701"/>
    <m/>
    <m/>
    <s v="Credit Request"/>
    <s v="Resolved"/>
    <s v="Vicki Y Pleak"/>
    <s v="Vicki Y Pleak"/>
    <s v="Commercial"/>
    <s v="Schlage Residential Mechanical"/>
    <x v="4"/>
    <x v="10"/>
    <s v=""/>
    <s v="2026 / 02"/>
    <s v="Return / Replace / Scrap"/>
    <s v="Product"/>
  </r>
  <r>
    <x v="50"/>
    <s v="CAS6435877"/>
    <s v="Issue"/>
    <s v="Return / Replace / Scrap"/>
    <s v="Quantity"/>
    <m/>
    <m/>
    <s v="Schlage Residential"/>
    <s v="Lock"/>
    <x v="1"/>
    <x v="1"/>
    <s v="CREDIT FOR CONCEALED SHORTAGE_x000a__x000a_CREDIT OPEN BALANCE $831.81_x000a__x000a_PRODUCT AUTHORITY SHIPMENT_x000a__x000a_CARRIER :  R&amp;L"/>
    <x v="9"/>
    <s v="14223351"/>
    <s v="1081777925"/>
    <s v="809525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4.791666666701"/>
    <m/>
    <m/>
    <s v="Credit Request"/>
    <s v="Resolved"/>
    <s v="Vicki Y Pleak"/>
    <s v="Vicki Y Pleak"/>
    <s v="Commercial"/>
    <s v="Schlage Residential Mechanical"/>
    <x v="4"/>
    <x v="10"/>
    <s v=""/>
    <s v="2026 / 02"/>
    <s v="Return / Replace / Scrap"/>
    <s v="Product"/>
  </r>
  <r>
    <x v="51"/>
    <s v="CAS6435843"/>
    <s v="Issue"/>
    <s v="Return / Replace / Scrap"/>
    <s v="Quantity"/>
    <m/>
    <m/>
    <s v="Schlage Residential"/>
    <s v="Lock"/>
    <x v="1"/>
    <x v="1"/>
    <s v="CREDIT FOR CONCEALED SHORTAGE_x000a__x000a_CREDIT OPEN BALANCE $448.26_x000a__x000a_PRODUCT AUTHORITY SHIPMENT_x000a__x000a_CARRIER :  R&amp;L"/>
    <x v="9"/>
    <s v="14223354"/>
    <s v="1081776874"/>
    <s v="809461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4.791666666701"/>
    <m/>
    <m/>
    <s v="Credit Request"/>
    <s v="Resolved"/>
    <s v="Vicki Y Pleak"/>
    <s v="Vicki Y Pleak"/>
    <s v="Commercial"/>
    <s v="Schlage Residential Mechanical"/>
    <x v="4"/>
    <x v="10"/>
    <s v=""/>
    <s v="2026 / 02"/>
    <s v="Return / Replace / Scrap"/>
    <s v="Product"/>
  </r>
  <r>
    <x v="52"/>
    <s v="CAS6435818"/>
    <s v="Issue"/>
    <s v="Return / Replace / Scrap"/>
    <s v="Quantity"/>
    <m/>
    <m/>
    <s v="Schlage Residential"/>
    <s v="Lock"/>
    <x v="1"/>
    <x v="1"/>
    <s v="CREDIT FOR CONCEALED SHORTAGE_x000a__x000a_CREDIT OPEN BALANCE $603.30_x000a__x000a_PRODUCT AUTHORITY SHIPMENT_x000a__x000a_CARRIER :  R&amp;L"/>
    <x v="9"/>
    <s v="14219124"/>
    <s v="1079697537"/>
    <s v="808737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6.791666666701"/>
    <m/>
    <m/>
    <s v="Credit Request"/>
    <s v="Resolved"/>
    <s v="Vicki Y Pleak"/>
    <s v="Vicki Y Pleak"/>
    <s v="Commercial"/>
    <s v="Schlage Residential Mechanical"/>
    <x v="4"/>
    <x v="10"/>
    <s v=""/>
    <s v="2026 / 02"/>
    <s v="Return / Replace / Scrap"/>
    <s v="Product"/>
  </r>
  <r>
    <x v="53"/>
    <s v="CAS6435779"/>
    <s v="Issue"/>
    <s v="Return / Replace / Scrap"/>
    <s v="Quantity"/>
    <m/>
    <m/>
    <s v="Schlage Residential"/>
    <s v="Lock"/>
    <x v="1"/>
    <x v="1"/>
    <s v="CREDIT FOR CONCEALED SHORTAGE_x000a__x000a_CREDIT OPEN BALANCE $484.88_x000a__x000a_PRODUCT AUTHORITY SHIPMENT_x000a__x000a_CARRIER :  R&amp;L"/>
    <x v="9"/>
    <s v="14218776"/>
    <s v="1079697533"/>
    <s v="808737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6.791666666701"/>
    <m/>
    <m/>
    <s v="Credit Request"/>
    <s v="Resolved"/>
    <s v="Vicki Y Pleak"/>
    <s v="Vicki Y Pleak"/>
    <s v="Commercial"/>
    <s v="Schlage Residential Mechanical"/>
    <x v="4"/>
    <x v="10"/>
    <s v=""/>
    <s v="2026 / 02"/>
    <s v="Return / Replace / Scrap"/>
    <s v="Product"/>
  </r>
  <r>
    <x v="54"/>
    <s v="CAS6435748"/>
    <s v="Issue"/>
    <s v="Return / Replace / Scrap"/>
    <s v="Quantity"/>
    <m/>
    <m/>
    <s v="Schlage Residential"/>
    <s v="Lock"/>
    <x v="1"/>
    <x v="1"/>
    <s v="CREDIT FOR CONCEALED SHORTAGE_x000a__x000a_CREDIT OPEN BALANCE $300.69_x000a__x000a_PRODUCT AUTHORITY SHIPMENT_x000a__x000a_CARRIER :  R&amp;L"/>
    <x v="9"/>
    <s v="14214409"/>
    <s v="1077584457"/>
    <s v="808272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0.791666666701"/>
    <m/>
    <m/>
    <s v="Credit Request"/>
    <s v="Resolved"/>
    <s v="Vicki Y Pleak"/>
    <s v="Vicki Y Pleak"/>
    <s v="Commercial"/>
    <s v="Schlage Residential Mechanical"/>
    <x v="4"/>
    <x v="10"/>
    <s v=""/>
    <s v="2026 / 02"/>
    <s v="Return / Replace / Scrap"/>
    <s v="Product"/>
  </r>
  <r>
    <x v="55"/>
    <s v="CAS6411229"/>
    <s v="Issue"/>
    <s v="Return / Replace / Scrap"/>
    <s v="Defective Product"/>
    <m/>
    <s v="Reliability"/>
    <s v="Schlage Residential"/>
    <s v="Lock"/>
    <x v="0"/>
    <x v="0"/>
    <s v="FROM PO42851--LINE 3-QTY 8--LOCK.FC21.ELR.622.KIN.16-600.10-027.134_x000a_FROM PO41976--LINE 15-QTY 12--LOCK.FC172.ELR.622.KIN.134_x000a__x000a_Here you go!_x000a__x000a_ _x000a__x000a_194555125032            ((QTY 20))     47424227 STANDARD ROSE KIT PRIVACY KIN 622, FC COMPONENTS_x000a__x000a_194555126022           ((QTY 20))      47424233 LEVER KIT ELR 622, FC COMPONENTS_x000a__x000a_ SHIP TO:_x000a__x000a_Balduzzi Midway Lumber_x000a_W7045 Lumber Pl_x000a_Onalaska WI 54650_x000a__x000a_Attn Todd De Ruyter_x000a__x000a_FYI – we recently found issues with our custom packaging.  Improvements were made a couple weeks ago so this should be better in the future._x000a__x000a_ **********************_x000a_On Jeske PO’s 42851and PO41976, the deco plates and Eller levers have chips in them._x000a__x000a_Could you please send components only by chance? The lock chassis are good. @Madore, Brian F  do you know the part number for the Kinsler deco component rose kit in 622 and the Eller lever kit in 622?_x000a__x000a_7:  FC21ELR622KIN 16-600 10-027 Eller / Kinsler Passage / Privacy Combo - Matte Black _x000a_ Qty: 3: FC172ELR622KIN Eller / Kinsler Dummy 2/pk - Matte Black_x000a__x000a_ We would need Qty: 20 Kinsler trims in 622 and Qty: 20: Eller levers in black."/>
    <x v="19"/>
    <s v="14211784/14167248"/>
    <s v="PO42851/PO41976"/>
    <s v="8001838"/>
    <m/>
    <s v="Schlage Residential"/>
    <s v="Lock"/>
    <s v="FC"/>
    <s v="Ensenada"/>
    <n v="20"/>
    <s v="0071033~Appearance / Finish|1040~Estetica / Finitura|3082~Estética / Acabado|1036~Apparence/Finition"/>
    <s v="0491033~Dented / Scratches|1040~Ammaccato/graffiato|3082~Abollado/rayado|1036~Bosselé / rayé"/>
    <m/>
    <s v="Product"/>
    <m/>
    <m/>
    <s v="FC21"/>
    <m/>
    <m/>
    <n v="45972.791666666701"/>
    <m/>
    <m/>
    <s v="Replace Only"/>
    <s v="Resolved"/>
    <s v="Jessica Cook"/>
    <s v="Jessica Cook"/>
    <s v="Residential - Channel"/>
    <s v="Schlage Residential Mechanical"/>
    <x v="2"/>
    <x v="2"/>
    <s v=""/>
    <s v="2026 / 02"/>
    <s v="Return / Replace / Scrap"/>
    <s v="Product"/>
  </r>
  <r>
    <x v="55"/>
    <s v="CAS6411229"/>
    <s v="Issue"/>
    <s v="Return / Replace / Scrap"/>
    <s v="Defective Product"/>
    <m/>
    <s v="Reliability"/>
    <s v="Schlage Residential"/>
    <s v="Lock"/>
    <x v="0"/>
    <x v="0"/>
    <s v="FROM PO42851--LINE 3-QTY 8--LOCK.FC21.ELR.622.KIN.16-600.10-027.134_x000a_FROM PO41976--LINE 15-QTY 12--LOCK.FC172.ELR.622.KIN.134_x000a__x000a_Here you go!_x000a__x000a_ _x000a__x000a_194555125032            ((QTY 20))     47424227 STANDARD ROSE KIT PRIVACY KIN 622, FC COMPONENTS_x000a__x000a_194555126022           ((QTY 20))      47424233 LEVER KIT ELR 622, FC COMPONENTS_x000a__x000a_ SHIP TO:_x000a__x000a_Balduzzi Midway Lumber_x000a_W7045 Lumber Pl_x000a_Onalaska WI 54650_x000a__x000a_Attn Todd De Ruyter_x000a__x000a_FYI – we recently found issues with our custom packaging.  Improvements were made a couple weeks ago so this should be better in the future._x000a__x000a_ **********************_x000a_On Jeske PO’s 42851and PO41976, the deco plates and Eller levers have chips in them._x000a__x000a_Could you please send components only by chance? The lock chassis are good. @Madore, Brian F  do you know the part number for the Kinsler deco component rose kit in 622 and the Eller lever kit in 622?_x000a__x000a_7:  FC21ELR622KIN 16-600 10-027 Eller / Kinsler Passage / Privacy Combo - Matte Black _x000a_ Qty: 3: FC172ELR622KIN Eller / Kinsler Dummy 2/pk - Matte Black_x000a__x000a_ We would need Qty: 20 Kinsler trims in 622 and Qty: 20: Eller levers in black."/>
    <x v="19"/>
    <s v="14211784/14167248"/>
    <s v="PO42851/PO41976"/>
    <s v="8001838"/>
    <m/>
    <s v="Schlage Residential"/>
    <s v="Lock"/>
    <s v="FC"/>
    <s v="Ensenada"/>
    <n v="20"/>
    <s v="0071033~Appearance / Finish|1040~Estetica / Finitura|3082~Estética / Acabado|1036~Apparence/Finition"/>
    <s v="0491033~Dented / Scratches|1040~Ammaccato/graffiato|3082~Abollado/rayado|1036~Bosselé / rayé"/>
    <m/>
    <s v="Product"/>
    <m/>
    <s v="194555125032"/>
    <s v="FC21"/>
    <m/>
    <m/>
    <n v="45908.833333333299"/>
    <m/>
    <m/>
    <s v="Replace Only"/>
    <s v="Resolved"/>
    <s v="Jessica Cook"/>
    <s v="Jessica Cook"/>
    <s v="Residential - Channel"/>
    <s v="Schlage Residential Mechanical"/>
    <x v="2"/>
    <x v="2"/>
    <s v=""/>
    <s v="2026 / 02"/>
    <s v="Return / Replace / Scrap"/>
    <s v="Product"/>
  </r>
  <r>
    <x v="56"/>
    <s v="CAS6431345"/>
    <s v="Issue"/>
    <s v="Return / Replace / Scrap"/>
    <s v="Incorrect/Missing Product"/>
    <m/>
    <m/>
    <s v="Schlage Residential"/>
    <s v="Lock"/>
    <x v="1"/>
    <x v="0"/>
    <s v="NC replace_x000a__x000a_Lock received missing the deadbolt._x000a_Please replace:_x000a_Line 2 QTY 1) LOCK.FC58.CEN.619.134.MK.DETAIL.C.48-180.2_x000a_STR KS40769_x000a_Keyed to 127 RCK_x000a__x000a_Ship to same:_x000a_CARTER JONES LUMBER_x000a_298 HARVEY FAULK RD_x000a_SANFORD, NC, 27332_x000a_-------------_x000a_&quot;We received line 2 without a deadbolt keyed to builder code and homeowner key. When can we receive this?&quot;"/>
    <x v="20"/>
    <s v="14240591"/>
    <s v="485098533"/>
    <s v="8125382"/>
    <n v="2"/>
    <s v="Schlage Residential"/>
    <s v="Lock"/>
    <s v="F Handleset"/>
    <s v="Ensenada"/>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s v="Product"/>
    <m/>
    <m/>
    <m/>
    <m/>
    <m/>
    <n v="46033.791666666701"/>
    <m/>
    <m/>
    <s v="Replace Only"/>
    <s v="Resolved"/>
    <s v="Bionica Brown"/>
    <s v="Kevin Durand"/>
    <s v="Commercial"/>
    <s v="Schlage Residential Mechanical"/>
    <x v="9"/>
    <x v="16"/>
    <s v=""/>
    <s v="2026 / 02"/>
    <s v="Return / Replace / Scrap"/>
    <s v="Product"/>
  </r>
  <r>
    <x v="57"/>
    <s v="CAS6415928"/>
    <s v="Issue"/>
    <s v="Return / Replace / Scrap"/>
    <s v="Defective Product"/>
    <m/>
    <s v="Out of Box"/>
    <s v="Schlage Residential"/>
    <s v="Lock"/>
    <x v="3"/>
    <x v="0"/>
    <s v="SHORT PAY AUTHORIZATION_x000a_LINE 4- B60.CAM.609 QTY 3 RECEIVED DAMAGED _x000a_AUTHORIZED TO SHORT PAY INVOICE 8143666 IN THE AMOUNT OF $117.42"/>
    <x v="2"/>
    <s v="14252649"/>
    <s v="5297598"/>
    <s v="8143666"/>
    <n v="4"/>
    <s v="Schlage Residential"/>
    <s v="Lock"/>
    <s v="B"/>
    <s v="Ensenada"/>
    <n v="3"/>
    <s v="0071033~Appearance / Finish|1040~Estetica / Finitura|3082~Estética / Acabado|1036~Apparence/Finition"/>
    <s v="0491033~Dented / Scratches|1040~Ammaccato/graffiato|3082~Abollado/rayado|1036~Bosselé / rayé"/>
    <m/>
    <s v="Product"/>
    <m/>
    <m/>
    <m/>
    <m/>
    <m/>
    <n v="46048.791666666701"/>
    <m/>
    <m/>
    <s v="Credit Request"/>
    <s v="Resolved"/>
    <s v="Erika Harris"/>
    <s v="Erika Harris"/>
    <s v="Residential - Channel"/>
    <s v="Schlage Residential Mechanical"/>
    <x v="2"/>
    <x v="2"/>
    <s v=""/>
    <s v="2026 / 02"/>
    <s v="Return / Replace / Scrap"/>
    <s v="Product"/>
  </r>
  <r>
    <x v="58"/>
    <s v="CAS6457448"/>
    <s v="Issue"/>
    <s v="Return / Replace / Scrap"/>
    <s v="Defective Product"/>
    <m/>
    <s v="Reliability"/>
    <s v="Schlage Residential"/>
    <s v="Lock"/>
    <x v="2"/>
    <x v="0"/>
    <s v="LINE 54 - LOCK.F40.LAT.626.CEN..16-080.10-027.134- QTY 1_x000a__x000a_F SERIES $32.90_x000a_SURCHARGES $2.14  _x000a_TOTAL: 35.04_x000a__x000a_PICTURES NEEDED. _x000a__x000a_I have reached out to my receiving team and we received 1 F40LAT626CEN that was damaged. May we please short pay or receive a credit ?"/>
    <x v="2"/>
    <s v="14265014"/>
    <s v="5299912"/>
    <m/>
    <n v="54"/>
    <s v="Schlage Residential"/>
    <s v="Lock"/>
    <s v="F Knob/Lever"/>
    <s v="Ensenada"/>
    <n v="1"/>
    <s v="0311033~Functional Mechanical|1040~Funzionamento Meccanico|3082~Función mecánica|1036~Functional Mechanical"/>
    <s v="0161033~Broken / Bad Parts|1040~Parti rotte / difettose|3082~Partes rotas / malas|1036~Pièces cassées / mauvaises"/>
    <m/>
    <s v="Product"/>
    <m/>
    <m/>
    <m/>
    <m/>
    <m/>
    <n v="46066.041666666701"/>
    <m/>
    <m/>
    <s v="Credit Request"/>
    <s v="Resolved"/>
    <s v="Bionica Brown"/>
    <s v="Bionica Brown"/>
    <s v="Residential - Channel"/>
    <s v="Schlage Residential Mechanical"/>
    <x v="0"/>
    <x v="0"/>
    <s v=""/>
    <s v="2026 / 02"/>
    <s v="Return / Replace / Scrap"/>
    <s v="Product"/>
  </r>
  <r>
    <x v="59"/>
    <s v="CAS6456935"/>
    <s v="Issue"/>
    <s v="Return / Replace / Scrap"/>
    <s v="Defective Product"/>
    <m/>
    <s v="Reliability"/>
    <s v="Schlage Residential"/>
    <s v="Lock"/>
    <x v="3"/>
    <x v="0"/>
    <s v="LINE 8 - LOCK.B60.N.716.12-288.10-147.134.KA.DETAIL.C.48-180.2.B520-283 QTY 2 - WAS SUPPOSED TO BE FOR SET #2 | SET #7 DUPLICATED IN ERROR  - GROUP 2 CHANGE KEY 55937 - CONFIG _x000a__x000a_NEED TO KNOW IF THEY WOULD LIKE LOCKS OR CYLINDER RPL - EMAILED CUST_x000a__x000a_&quot;This is Alfred from Specialty Door &amp; A/C# is 3000670. We already inspected all new locks for this order (14260205). We don’t see 2 (ea)-B60 (716) deadbolt which belongs to Key Set #2 in this shipment. This issue was reported on 2/17. See our previous email below. It’s due to data entry error from Schlage.&quot;"/>
    <x v="21"/>
    <s v="14260205"/>
    <s v="SDC-26005"/>
    <m/>
    <n v="8"/>
    <s v="Schlage Residential"/>
    <s v="Lock"/>
    <s v="B"/>
    <s v="Ensenada"/>
    <n v="2"/>
    <s v="0311033~Functional Mechanical|1040~Funzionamento Meccanico|3082~Función mecánica|1036~Functional Mechanical"/>
    <s v="0161033~Broken / Bad Parts|1040~Parti rotte / difettose|3082~Partes rotas / malas|1036~Pièces cassées / mauvaises"/>
    <m/>
    <s v="Product"/>
    <m/>
    <m/>
    <s v="B60"/>
    <m/>
    <m/>
    <n v="46062.041666666701"/>
    <m/>
    <m/>
    <s v="Replace Only"/>
    <s v="Active"/>
    <s v="Bionica Brown"/>
    <s v="Bionica Brown"/>
    <s v="Residential - Channel"/>
    <s v="Schlage Residential Mechanical"/>
    <x v="0"/>
    <x v="0"/>
    <s v=""/>
    <s v="2026 / 02"/>
    <s v="Return / Replace / Scrap"/>
    <s v="Product"/>
  </r>
  <r>
    <x v="60"/>
    <s v="CAS6450741"/>
    <s v="Issue"/>
    <s v="Return / Replace / Scrap"/>
    <s v="Incorrect/Missing Product"/>
    <m/>
    <m/>
    <s v="Schlage Residential"/>
    <s v="Lock"/>
    <x v="1"/>
    <x v="0"/>
    <s v="Customer had ordered 5 locks in RH and 11 in LH this was a customer mistake should have been 11 RH and 5 LH Customer would like to return the locks with incorrect handing and receive 6 locks with RH _x000a__x000a_Return W/ 45% restocking fee_x000a_Line 2 qty. 6 _x000a_LOCK.F80.MER.619.LH.16-211.10-026.134.KD.C.48-180.2_x000a__x000a_Replace at cost_x000a_PB15 / 62.5% discount / 6.5% surcharge_x000a_qty. 6 LOCK.F80.MER.619.RH.16-211.10-026.134.KD.C.48-180.2_x000a__x000a_Ship to same address on order:_x000a_GENERAL HARDWARE &amp; BUILDERS SUPPLY _x000a_1100 INDUSTRIAL RD UNIT 7 _x000a_San Carlos, CA, 94070, US"/>
    <x v="22"/>
    <s v="14259604"/>
    <s v="141534MB"/>
    <s v="8151141"/>
    <n v="2"/>
    <s v="Schlage Residential"/>
    <s v="Lock"/>
    <s v="F Handleset"/>
    <s v="Ensenada"/>
    <n v="6"/>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s v="Customer"/>
    <m/>
    <s v="LOCK.F80.MER.619.RH.16-211.10-026.134.KD.C.48-180.2"/>
    <m/>
    <m/>
    <m/>
    <n v="46056"/>
    <m/>
    <m/>
    <s v="Replace Only"/>
    <s v="Active"/>
    <s v="Daniel Lister"/>
    <s v="Veronica Ross"/>
    <s v="Commercial"/>
    <s v="Schlage Residential Mechanical"/>
    <x v="6"/>
    <x v="6"/>
    <s v=""/>
    <s v="2026 / 02"/>
    <s v="Return / Replace / Scrap"/>
    <s v="Customer"/>
  </r>
  <r>
    <x v="60"/>
    <s v="CAS6450741"/>
    <s v="Issue"/>
    <s v="Return / Replace / Scrap"/>
    <s v="Incorrect/Missing Product"/>
    <m/>
    <m/>
    <s v="Schlage Residential"/>
    <s v="Lock"/>
    <x v="1"/>
    <x v="0"/>
    <s v="Customer had ordered 5 locks in RH and 11 in LH this was a customer mistake should have been 11 RH and 5 LH Customer would like to return the locks with incorrect handing and receive 6 locks with RH _x000a__x000a_Return W/ 45% restocking fee_x000a_Line 2 qty. 6 _x000a_LOCK.F80.MER.619.LH.16-211.10-026.134.KD.C.48-180.2_x000a__x000a_Replace at cost_x000a_PB15 / 62.5% discount / 6.5% surcharge_x000a_qty. 6 LOCK.F80.MER.619.RH.16-211.10-026.134.KD.C.48-180.2_x000a__x000a_Ship to same address on order:_x000a_GENERAL HARDWARE &amp; BUILDERS SUPPLY _x000a_1100 INDUSTRIAL RD UNIT 7 _x000a_San Carlos, CA, 94070, US"/>
    <x v="22"/>
    <s v="14259604"/>
    <s v="141534MB"/>
    <s v="8151141"/>
    <n v="2"/>
    <s v="Schlage Residential"/>
    <s v="Lock"/>
    <s v="F Handleset"/>
    <s v="Ensenada"/>
    <n v="6"/>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s v="Customer"/>
    <m/>
    <s v="194555331686"/>
    <m/>
    <m/>
    <m/>
    <n v="46056"/>
    <m/>
    <m/>
    <s v="Return Only"/>
    <s v="Active"/>
    <s v="Daniel Lister"/>
    <s v="Veronica Ross"/>
    <s v="Commercial"/>
    <s v="Schlage Residential Mechanical"/>
    <x v="6"/>
    <x v="6"/>
    <s v=""/>
    <s v="2026 / 02"/>
    <s v="Return / Replace / Scrap"/>
    <s v="Customer"/>
  </r>
  <r>
    <x v="61"/>
    <s v="CAS6433446"/>
    <s v="Issue"/>
    <s v="Return / Replace / Scrap"/>
    <s v="Defective Product"/>
    <m/>
    <s v="Out of Box"/>
    <s v="Schlage Residential"/>
    <s v="Lock"/>
    <x v="2"/>
    <x v="0"/>
    <s v="No charge replacement- defective product- will use cylinder- no special keying needed_x000a__x000a_F51A.LAT.622.16-086.10-025.134  QTY 1   64.65_x000a__x000a_3842 VANDER MEER DR_x000a_LOVELAND, CO, 80538"/>
    <x v="23"/>
    <s v="14213311"/>
    <s v="1462067PO-JPK"/>
    <s v="8084284"/>
    <m/>
    <s v="Schlage Residential"/>
    <s v="Lock"/>
    <s v="F Knob/Lever"/>
    <s v="Ensenada"/>
    <n v="1"/>
    <s v="0311033~Functional Mechanical|1040~Funzionamento Meccanico|3082~Función mecánica|1036~Functional Mechanical"/>
    <s v="0161033~Broken / Bad Parts|1040~Parti rotte / difettose|3082~Partes rotas / malas|1036~Pièces cassées / mauvaises"/>
    <m/>
    <s v="Product"/>
    <m/>
    <s v="F51A.LAT.622.16-086.10-025.134"/>
    <s v="F51"/>
    <m/>
    <m/>
    <n v="45984.791666666701"/>
    <m/>
    <m/>
    <s v="Replace Only"/>
    <s v="Resolved"/>
    <s v="Lucresia James"/>
    <s v="Lucresia James"/>
    <s v="Residential - Channel"/>
    <s v="Schlage Residential Mechanical"/>
    <x v="0"/>
    <x v="0"/>
    <s v=""/>
    <s v="2026 / 02"/>
    <s v="Return / Replace / Scrap"/>
    <s v="Product"/>
  </r>
  <r>
    <x v="62"/>
    <s v="CAS6423261"/>
    <s v="Issue"/>
    <s v="Return / Replace / Scrap"/>
    <s v="Quantity"/>
    <m/>
    <m/>
    <s v="Schlage Residential"/>
    <s v="Lock"/>
    <x v="1"/>
    <x v="1"/>
    <s v="CONCEALED SHORTAGE:_x000a__x000a_LOWES REF#  AD852154_x000a__x000a_CREDIT BALANCE : $209.34_x000a__x000a_CARRER:   SAIA"/>
    <x v="24"/>
    <s v="SO03200823"/>
    <s v="301715649"/>
    <s v="4562633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0.791666666701"/>
    <m/>
    <m/>
    <s v="Credit Request"/>
    <s v="Resolved"/>
    <s v="Vicki Y Pleak"/>
    <s v="Vicki Y Pleak"/>
    <s v="Commercial"/>
    <s v="Schlage Residential Mechanical"/>
    <x v="4"/>
    <x v="10"/>
    <s v=""/>
    <s v="2026 / 02"/>
    <s v="Return / Replace / Scrap"/>
    <s v="Product"/>
  </r>
  <r>
    <x v="63"/>
    <s v="CAS6423240"/>
    <s v="Issue"/>
    <s v="Return / Replace / Scrap"/>
    <s v="Quantity"/>
    <m/>
    <m/>
    <s v="Schlage Residential"/>
    <s v="Lock"/>
    <x v="1"/>
    <x v="1"/>
    <s v="CONCEALED SHORTAGE:_x000a__x000a_LOWES REF#  AD842108_x000a__x000a_CREDIT BALANCE : $1112.82_x000a__x000a_CARRER:   SAIA"/>
    <x v="24"/>
    <s v="SO03199291"/>
    <s v="301612730"/>
    <s v="4562630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0.791666666701"/>
    <m/>
    <m/>
    <s v="Credit Request"/>
    <s v="Resolved"/>
    <s v="Vicki Y Pleak"/>
    <s v="Vicki Y Pleak"/>
    <s v="Commercial"/>
    <s v="Schlage Residential Mechanical"/>
    <x v="4"/>
    <x v="10"/>
    <s v=""/>
    <s v="2026 / 02"/>
    <s v="Return / Replace / Scrap"/>
    <s v="Product"/>
  </r>
  <r>
    <x v="64"/>
    <s v="CAS6423213"/>
    <s v="Issue"/>
    <s v="Return / Replace / Scrap"/>
    <s v="Quantity"/>
    <m/>
    <m/>
    <s v="Schlage Residential"/>
    <s v="Lock"/>
    <x v="1"/>
    <x v="1"/>
    <s v="CONCEALED SHORTAGE:_x000a__x000a_LOWES REF#  AD852153_x000a__x000a_CREDIT BALANCE : $399.40_x000a__x000a_CARRER:   SAIA"/>
    <x v="24"/>
    <s v="SO03199281"/>
    <s v="301612731"/>
    <s v="4562627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0.791666666701"/>
    <m/>
    <m/>
    <s v="Credit Request"/>
    <s v="Resolved"/>
    <s v="Vicki Y Pleak"/>
    <s v="Vicki Y Pleak"/>
    <s v="Commercial"/>
    <s v="Schlage Residential Mechanical"/>
    <x v="4"/>
    <x v="10"/>
    <s v=""/>
    <s v="2026 / 02"/>
    <s v="Return / Replace / Scrap"/>
    <s v="Product"/>
  </r>
  <r>
    <x v="65"/>
    <s v="CAS6423188"/>
    <s v="Issue"/>
    <s v="Return / Replace / Scrap"/>
    <s v="Quantity"/>
    <m/>
    <m/>
    <s v="Schlage Residential"/>
    <s v="Lock"/>
    <x v="1"/>
    <x v="1"/>
    <s v="CONCEALED SHORTAGE:_x000a__x000a_LOWES REF#  AD840340_x000a__x000a_CREDIT BALANCE : $1243.87_x000a__x000a_CARRER:   SAIA"/>
    <x v="24"/>
    <s v="SO03196140"/>
    <s v="301398570"/>
    <s v="4562214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8.791666666701"/>
    <m/>
    <m/>
    <s v="Credit Request"/>
    <s v="Resolved"/>
    <s v="Vicki Y Pleak"/>
    <s v="Vicki Y Pleak"/>
    <s v="Commercial"/>
    <s v="Schlage Residential Mechanical"/>
    <x v="4"/>
    <x v="10"/>
    <s v=""/>
    <s v="2026 / 02"/>
    <s v="Return / Replace / Scrap"/>
    <s v="Product"/>
  </r>
  <r>
    <x v="66"/>
    <s v="CAS6423151"/>
    <s v="Issue"/>
    <s v="Return / Replace / Scrap"/>
    <s v="Quantity"/>
    <m/>
    <m/>
    <s v="Schlage Residential"/>
    <s v="Lock"/>
    <x v="1"/>
    <x v="1"/>
    <s v="CONCEALED SHORTAGE:_x000a__x000a_LOWES REF#  AD850186_x000a__x000a_CREDIT BALANCE : $861.23_x000a__x000a_CARRER:   SAIA"/>
    <x v="24"/>
    <s v="SO03196139"/>
    <s v="301398569"/>
    <s v="4562213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8.791666666701"/>
    <m/>
    <m/>
    <s v="Credit Request"/>
    <s v="Resolved"/>
    <s v="Vicki Y Pleak"/>
    <s v="Vicki Y Pleak"/>
    <s v="Commercial"/>
    <s v="Schlage Residential Mechanical"/>
    <x v="4"/>
    <x v="10"/>
    <s v=""/>
    <s v="2026 / 02"/>
    <s v="Return / Replace / Scrap"/>
    <s v="Product"/>
  </r>
  <r>
    <x v="67"/>
    <s v="CAS6423117"/>
    <s v="Issue"/>
    <s v="Return / Replace / Scrap"/>
    <s v="Quantity"/>
    <m/>
    <m/>
    <s v="Schlage Residential"/>
    <s v="Lock"/>
    <x v="1"/>
    <x v="1"/>
    <s v="CONCEALED SHORTAGE:_x000a__x000a_LOWES REF#  AD833074_x000a__x000a_CREDIT BALANCE : $253.69_x000a__x000a_CARRER:   SAIA"/>
    <x v="24"/>
    <s v="SO03196138"/>
    <s v="301398568"/>
    <s v="45462213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8.791666666701"/>
    <m/>
    <m/>
    <s v="Credit Request"/>
    <s v="Resolved"/>
    <s v="Vicki Y Pleak"/>
    <s v="Vicki Y Pleak"/>
    <s v="Commercial"/>
    <s v="Schlage Residential Mechanical"/>
    <x v="4"/>
    <x v="10"/>
    <s v=""/>
    <s v="2026 / 02"/>
    <s v="Return / Replace / Scrap"/>
    <s v="Product"/>
  </r>
  <r>
    <x v="68"/>
    <s v="CAS6445018"/>
    <s v="Issue"/>
    <s v="Credit / Debit Request"/>
    <s v="Pricing Adjustment"/>
    <m/>
    <m/>
    <s v="Schlage Residential"/>
    <s v="Lock"/>
    <x v="2"/>
    <x v="0"/>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x v="1"/>
    <s v="14269637"/>
    <s v="82702"/>
    <s v="8167384"/>
    <m/>
    <s v="Schlage Residential"/>
    <s v="Lock"/>
    <s v="F Knob/Lever"/>
    <s v="Ensenada"/>
    <n v="8"/>
    <s v="0531033~Quote / Product Error|1040~Errore Offerta / Prodotto|3082~Oferta / error producto|1036~Erreur de devis / produit"/>
    <s v="2751033~Quote Error|1036~Erreur de devis|1040~Errore di citazione|3082~Error de cita|1055~Alıntı Hatası"/>
    <m/>
    <s v="Sales"/>
    <m/>
    <s v="F10.LAT.625.16-080.10-027.134"/>
    <m/>
    <m/>
    <m/>
    <n v="46069.791666666701"/>
    <m/>
    <m/>
    <s v="Credit Request"/>
    <s v="Resolved"/>
    <s v="Lucresia James"/>
    <s v="Lucresia James"/>
    <s v="Residential - Channel"/>
    <s v="Schlage Residential Mechanical"/>
    <x v="5"/>
    <x v="17"/>
    <s v=""/>
    <s v="2026 / 02"/>
    <s v="Credit / Debit Request"/>
    <s v="Customer Care"/>
  </r>
  <r>
    <x v="68"/>
    <s v="CAS6445018"/>
    <s v="Issue"/>
    <s v="Credit / Debit Request"/>
    <s v="Pricing Adjustment"/>
    <m/>
    <m/>
    <s v="Schlage Residential"/>
    <s v="Lock"/>
    <x v="2"/>
    <x v="0"/>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x v="1"/>
    <s v="14269637"/>
    <s v="82702"/>
    <s v="8167384"/>
    <m/>
    <s v="Schlage Residential"/>
    <s v="Lock"/>
    <s v="F Knob/Lever"/>
    <s v="Ensenada"/>
    <n v="120"/>
    <s v="0531033~Quote / Product Error|1040~Errore Offerta / Prodotto|3082~Oferta / error producto|1036~Erreur de devis / produit"/>
    <s v="2751033~Quote Error|1036~Erreur de devis|1040~Errore di citazione|3082~Error de cita|1055~Alıntı Hatası"/>
    <m/>
    <s v="Sales"/>
    <m/>
    <s v="F10.LAT.622.16-080.10-027.134"/>
    <m/>
    <m/>
    <m/>
    <n v="46069.791666666701"/>
    <m/>
    <m/>
    <s v="Credit Request"/>
    <s v="Resolved"/>
    <s v="Lucresia James"/>
    <s v="Lucresia James"/>
    <s v="Residential - Channel"/>
    <s v="Schlage Residential Mechanical"/>
    <x v="5"/>
    <x v="17"/>
    <s v=""/>
    <s v="2026 / 02"/>
    <s v="Credit / Debit Request"/>
    <s v="Customer Care"/>
  </r>
  <r>
    <x v="68"/>
    <s v="CAS6445018"/>
    <s v="Issue"/>
    <s v="Credit / Debit Request"/>
    <s v="Pricing Adjustment"/>
    <m/>
    <m/>
    <s v="Schlage Residential"/>
    <s v="Lock"/>
    <x v="2"/>
    <x v="0"/>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x v="1"/>
    <s v="14269637"/>
    <s v="82702"/>
    <s v="8167384"/>
    <m/>
    <s v="Schlage Residential"/>
    <s v="Lock"/>
    <s v="F Knob/Lever"/>
    <s v="Ensenada"/>
    <n v="16"/>
    <s v="0531033~Quote / Product Error|1040~Errore Offerta / Prodotto|3082~Oferta / error producto|1036~Erreur de devis / produit"/>
    <s v="2751033~Quote Error|1036~Erreur de devis|1040~Errore di citazione|3082~Error de cita|1055~Alıntı Hatası"/>
    <m/>
    <s v="Sales"/>
    <m/>
    <s v="F10.LAT.619.16-080.10-027.134"/>
    <m/>
    <m/>
    <m/>
    <n v="46069.791666666701"/>
    <m/>
    <m/>
    <s v="Credit Request"/>
    <s v="Resolved"/>
    <s v="Lucresia James"/>
    <s v="Lucresia James"/>
    <s v="Residential - Channel"/>
    <s v="Schlage Residential Mechanical"/>
    <x v="5"/>
    <x v="17"/>
    <s v=""/>
    <s v="2026 / 02"/>
    <s v="Credit / Debit Request"/>
    <s v="Customer Care"/>
  </r>
  <r>
    <x v="68"/>
    <s v="CAS6445018"/>
    <s v="Issue"/>
    <s v="Credit / Debit Request"/>
    <s v="Pricing Adjustment"/>
    <m/>
    <m/>
    <s v="Schlage Residential"/>
    <s v="Lock"/>
    <x v="2"/>
    <x v="0"/>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x v="1"/>
    <s v="14269637"/>
    <s v="82702"/>
    <s v="8167384"/>
    <m/>
    <s v="Schlage Residential"/>
    <s v="Lock"/>
    <s v="F Knob/Lever"/>
    <s v="Ensenada"/>
    <n v="24"/>
    <s v="0531033~Quote / Product Error|1040~Errore Offerta / Prodotto|3082~Oferta / error producto|1036~Erreur de devis / produit"/>
    <s v="2751033~Quote Error|1036~Erreur de devis|1040~Errore di citazione|3082~Error de cita|1055~Alıntı Hatası"/>
    <m/>
    <s v="Sales"/>
    <m/>
    <s v="F10.LAT.608.16-080.10-027.134"/>
    <m/>
    <m/>
    <m/>
    <n v="46069.791666666701"/>
    <m/>
    <m/>
    <s v="Credit Request"/>
    <s v="Resolved"/>
    <s v="Lucresia James"/>
    <s v="Lucresia James"/>
    <s v="Residential - Channel"/>
    <s v="Schlage Residential Mechanical"/>
    <x v="5"/>
    <x v="17"/>
    <s v=""/>
    <s v="2026 / 02"/>
    <s v="Credit / Debit Request"/>
    <s v="Customer Care"/>
  </r>
  <r>
    <x v="68"/>
    <s v="CAS6445018"/>
    <s v="Issue"/>
    <s v="Credit / Debit Request"/>
    <s v="Pricing Adjustment"/>
    <m/>
    <m/>
    <s v="Schlage Residential"/>
    <s v="Lock"/>
    <x v="2"/>
    <x v="0"/>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x v="1"/>
    <s v="14269637"/>
    <s v="82702"/>
    <s v="8167384"/>
    <m/>
    <s v="Schlage Residential"/>
    <s v="Lock"/>
    <s v="F Knob/Lever"/>
    <s v="Ensenada"/>
    <n v="24"/>
    <s v="0531033~Quote / Product Error|1040~Errore Offerta / Prodotto|3082~Oferta / error producto|1036~Erreur de devis / produit"/>
    <s v="2751033~Quote Error|1036~Erreur de devis|1040~Errore di citazione|3082~Error de cita|1055~Alıntı Hatası"/>
    <m/>
    <s v="Sales"/>
    <m/>
    <s v="F40.LAT.622.COL..16-080.10-027.134"/>
    <m/>
    <m/>
    <m/>
    <n v="46069.791666666701"/>
    <m/>
    <m/>
    <s v="Credit Request"/>
    <s v="Resolved"/>
    <s v="Lucresia James"/>
    <s v="Lucresia James"/>
    <s v="Residential - Channel"/>
    <s v="Schlage Residential Mechanical"/>
    <x v="5"/>
    <x v="17"/>
    <s v=""/>
    <s v="2026 / 02"/>
    <s v="Credit / Debit Request"/>
    <s v="Customer Care"/>
  </r>
  <r>
    <x v="68"/>
    <s v="CAS6445018"/>
    <s v="Issue"/>
    <s v="Credit / Debit Request"/>
    <s v="Pricing Adjustment"/>
    <m/>
    <m/>
    <s v="Schlage Residential"/>
    <s v="Lock"/>
    <x v="2"/>
    <x v="0"/>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x v="1"/>
    <s v="14269637"/>
    <s v="82702"/>
    <s v="8167384"/>
    <m/>
    <s v="Schlage Residential"/>
    <s v="Lock"/>
    <s v="F Knob/Lever"/>
    <s v="Ensenada"/>
    <n v="56"/>
    <s v="0531033~Quote / Product Error|1040~Errore Offerta / Prodotto|3082~Oferta / error producto|1036~Erreur de devis / produit"/>
    <s v="2751033~Quote Error|1036~Erreur de devis|1040~Errore di citazione|3082~Error de cita|1055~Alıntı Hatası"/>
    <m/>
    <s v="Sales"/>
    <m/>
    <s v="F51A.LAT.619.16-086.10-027.134.KA4.C.48-180.2"/>
    <m/>
    <m/>
    <m/>
    <n v="46069.791666666701"/>
    <m/>
    <m/>
    <s v="Credit Request"/>
    <s v="Resolved"/>
    <s v="Lucresia James"/>
    <s v="Lucresia James"/>
    <s v="Residential - Channel"/>
    <s v="Schlage Residential Mechanical"/>
    <x v="5"/>
    <x v="17"/>
    <s v=""/>
    <s v="2026 / 02"/>
    <s v="Credit / Debit Request"/>
    <s v="Customer Care"/>
  </r>
  <r>
    <x v="68"/>
    <s v="CAS6445018"/>
    <s v="Issue"/>
    <s v="Credit / Debit Request"/>
    <s v="Pricing Adjustment"/>
    <m/>
    <m/>
    <s v="Schlage Residential"/>
    <s v="Lock"/>
    <x v="2"/>
    <x v="0"/>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x v="1"/>
    <s v="14269637"/>
    <s v="82702"/>
    <s v="8167384"/>
    <m/>
    <s v="Schlage Residential"/>
    <s v="Lock"/>
    <s v="F Knob/Lever"/>
    <s v="Ensenada"/>
    <n v="80"/>
    <s v="0531033~Quote / Product Error|1040~Errore Offerta / Prodotto|3082~Oferta / error producto|1036~Erreur de devis / produit"/>
    <s v="2751033~Quote Error|1036~Erreur de devis|1040~Errore di citazione|3082~Error de cita|1055~Alıntı Hatası"/>
    <m/>
    <s v="Sales"/>
    <m/>
    <s v="B60.N.619.12-321.10-116.134"/>
    <m/>
    <m/>
    <m/>
    <n v="46069.791666666701"/>
    <m/>
    <m/>
    <s v="Credit Request"/>
    <s v="Resolved"/>
    <s v="Lucresia James"/>
    <s v="Lucresia James"/>
    <s v="Residential - Channel"/>
    <s v="Schlage Residential Mechanical"/>
    <x v="5"/>
    <x v="17"/>
    <s v=""/>
    <s v="2026 / 02"/>
    <s v="Credit / Debit Request"/>
    <s v="Customer Care"/>
  </r>
  <r>
    <x v="68"/>
    <s v="CAS6445018"/>
    <s v="Issue"/>
    <s v="Credit / Debit Request"/>
    <s v="Pricing Adjustment"/>
    <m/>
    <m/>
    <s v="Schlage Residential"/>
    <s v="Lock"/>
    <x v="2"/>
    <x v="0"/>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x v="1"/>
    <s v="14269637"/>
    <s v="82702"/>
    <s v="8167384"/>
    <m/>
    <s v="Schlage Residential"/>
    <s v="Lock"/>
    <s v="F Knob/Lever"/>
    <s v="Ensenada"/>
    <n v="4"/>
    <s v="0531033~Quote / Product Error|1040~Errore Offerta / Prodotto|3082~Oferta / error producto|1036~Erreur de devis / produit"/>
    <s v="2751033~Quote Error|1036~Erreur de devis|1040~Errore di citazione|3082~Error de cita|1055~Alıntı Hatası"/>
    <m/>
    <s v="Sales"/>
    <m/>
    <s v="F59.LAT.622.COL"/>
    <m/>
    <m/>
    <m/>
    <n v="46069.791666666701"/>
    <m/>
    <m/>
    <s v="Credit Request"/>
    <s v="Resolved"/>
    <s v="Lucresia James"/>
    <s v="Lucresia James"/>
    <s v="Residential - Channel"/>
    <s v="Schlage Residential Mechanical"/>
    <x v="5"/>
    <x v="17"/>
    <s v=""/>
    <s v="2026 / 02"/>
    <s v="Credit / Debit Request"/>
    <s v="Customer Care"/>
  </r>
  <r>
    <x v="68"/>
    <s v="CAS6445018"/>
    <s v="Issue"/>
    <s v="Credit / Debit Request"/>
    <s v="Pricing Adjustment"/>
    <m/>
    <m/>
    <s v="Schlage Residential"/>
    <s v="Lock"/>
    <x v="2"/>
    <x v="0"/>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x v="1"/>
    <s v="14269637"/>
    <s v="82702"/>
    <s v="8167384"/>
    <m/>
    <s v="Schlage Residential"/>
    <s v="Lock"/>
    <s v="F Knob/Lever"/>
    <s v="Ensenada"/>
    <n v="8"/>
    <s v="0531033~Quote / Product Error|1040~Errore Offerta / Prodotto|3082~Oferta / error producto|1036~Erreur de devis / produit"/>
    <s v="2751033~Quote Error|1036~Erreur de devis|1040~Errore di citazione|3082~Error de cita|1055~Alıntı Hatası"/>
    <m/>
    <s v="Sales"/>
    <m/>
    <s v="F59.LAT.622"/>
    <m/>
    <m/>
    <m/>
    <n v="46069.791666666701"/>
    <m/>
    <m/>
    <s v="Credit Request"/>
    <s v="Resolved"/>
    <s v="Lucresia James"/>
    <s v="Lucresia James"/>
    <s v="Residential - Channel"/>
    <s v="Schlage Residential Mechanical"/>
    <x v="5"/>
    <x v="17"/>
    <s v=""/>
    <s v="2026 / 02"/>
    <s v="Credit / Debit Request"/>
    <s v="Customer Care"/>
  </r>
  <r>
    <x v="68"/>
    <s v="CAS6445018"/>
    <s v="Issue"/>
    <s v="Credit / Debit Request"/>
    <s v="Pricing Adjustment"/>
    <m/>
    <m/>
    <s v="Schlage Residential"/>
    <s v="Lock"/>
    <x v="2"/>
    <x v="0"/>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x v="1"/>
    <s v="14269637"/>
    <s v="82702"/>
    <s v="8167384"/>
    <m/>
    <s v="Schlage Residential"/>
    <s v="Lock"/>
    <s v="F Knob/Lever"/>
    <s v="Ensenada"/>
    <n v="2"/>
    <s v="0531033~Quote / Product Error|1040~Errore Offerta / Prodotto|3082~Oferta / error producto|1036~Erreur de devis / produit"/>
    <s v="2751033~Quote Error|1036~Erreur de devis|1040~Errore di citazione|3082~Error de cita|1055~Alıntı Hatası"/>
    <m/>
    <s v="Sales"/>
    <m/>
    <s v="F59.LAT.608"/>
    <m/>
    <m/>
    <m/>
    <n v="46069.791666666701"/>
    <m/>
    <m/>
    <s v="Credit Request"/>
    <s v="Resolved"/>
    <s v="Lucresia James"/>
    <s v="Lucresia James"/>
    <s v="Residential - Channel"/>
    <s v="Schlage Residential Mechanical"/>
    <x v="5"/>
    <x v="17"/>
    <s v=""/>
    <s v="2026 / 02"/>
    <s v="Credit / Debit Request"/>
    <s v="Customer Care"/>
  </r>
  <r>
    <x v="68"/>
    <s v="CAS6445018"/>
    <s v="Issue"/>
    <s v="Credit / Debit Request"/>
    <s v="Pricing Adjustment"/>
    <m/>
    <m/>
    <s v="Schlage Residential"/>
    <s v="Lock"/>
    <x v="2"/>
    <x v="0"/>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x v="1"/>
    <s v="14269637"/>
    <s v="82702"/>
    <s v="8167384"/>
    <m/>
    <s v="Schlage Residential"/>
    <s v="Lock"/>
    <s v="F Knob/Lever"/>
    <s v="Ensenada"/>
    <n v="18"/>
    <s v="0531033~Quote / Product Error|1040~Errore Offerta / Prodotto|3082~Oferta / error producto|1036~Erreur de devis / produit"/>
    <s v="2751033~Quote Error|1036~Erreur de devis|1040~Errore di citazione|3082~Error de cita|1055~Alıntı Hatası"/>
    <m/>
    <s v="Sales"/>
    <m/>
    <s v="F58.CEN.622.134"/>
    <m/>
    <m/>
    <m/>
    <n v="46069.791666666701"/>
    <m/>
    <m/>
    <s v="Credit Request"/>
    <s v="Resolved"/>
    <s v="Lucresia James"/>
    <s v="Lucresia James"/>
    <s v="Residential - Channel"/>
    <s v="Schlage Residential Mechanical"/>
    <x v="5"/>
    <x v="17"/>
    <s v=""/>
    <s v="2026 / 02"/>
    <s v="Credit / Debit Request"/>
    <s v="Customer Care"/>
  </r>
  <r>
    <x v="69"/>
    <s v="CAS6423124"/>
    <s v="Issue"/>
    <s v="Return / Replace / Scrap"/>
    <s v="Defective Product"/>
    <m/>
    <s v="Out of Box"/>
    <s v="Schlage Residential"/>
    <s v="Lock"/>
    <x v="1"/>
    <x v="0"/>
    <s v="NC RPL- missing screw cap_x000a__x000a_02-035 619  QTY 1_x000a__x000a_Allen Lowe_x000a_50 Eastlake Rd_x000a_Reynoldsburg, OH 43068"/>
    <x v="25"/>
    <s v="14224935"/>
    <s v="7007064183"/>
    <s v="8096469"/>
    <m/>
    <s v="Schlage Residential"/>
    <s v="Lock"/>
    <s v="F Handleset"/>
    <s v="Ensenada"/>
    <n v="1"/>
    <s v="0311033~Functional Mechanical|1040~Funzionamento Meccanico|3082~Función mecánica|1036~Functional Mechanical"/>
    <s v="0161033~Broken / Bad Parts|1040~Parti rotte / difettose|3082~Partes rotas / malas|1036~Pièces cassées / mauvaises"/>
    <m/>
    <s v="Product"/>
    <m/>
    <s v="02-035 619"/>
    <s v="F58"/>
    <m/>
    <m/>
    <n v="45995.791666666701"/>
    <m/>
    <m/>
    <s v="Replace Only"/>
    <s v="Resolved"/>
    <s v="Lucresia James"/>
    <s v="Lucresia James"/>
    <s v="Residential - Channel"/>
    <s v="Schlage Residential Mechanical"/>
    <x v="0"/>
    <x v="0"/>
    <s v=""/>
    <s v="2026 / 02"/>
    <s v="Return / Replace / Scrap"/>
    <s v="Product"/>
  </r>
  <r>
    <x v="70"/>
    <s v="CAS6422385"/>
    <s v="Issue"/>
    <s v="Return / Replace / Scrap"/>
    <s v="Incorrect/Missing Product"/>
    <m/>
    <m/>
    <s v="Schlage Residential"/>
    <s v="Lock"/>
    <x v="2"/>
    <x v="0"/>
    <s v="RTN and RPL- OE entered wrong finish PO shows as 626 finish_x000a__x000a_F40.LAT.622.16-080.10-027.134  QTY 179    24.00 + 279.24_x000a_043156479122_x000a__x000a_Elkridge_933592_x000a_6600 SANTA BARBARA RD_x000a_STE A_x000a_Elkridge, MD, 21075"/>
    <x v="26"/>
    <s v="14220767"/>
    <s v="18942"/>
    <s v="8088818"/>
    <m/>
    <s v="Schlage Residential"/>
    <s v="Lock"/>
    <s v="F Knob/Lever"/>
    <s v="Ensenada"/>
    <n v="179"/>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s v="Order Management"/>
    <m/>
    <s v="F40.LAT.622.16-080.10-027.134"/>
    <m/>
    <m/>
    <m/>
    <n v="45987.791666666701"/>
    <m/>
    <m/>
    <s v="Return and Replace"/>
    <s v="Resolved"/>
    <s v="Lucresia James"/>
    <s v="Lucresia James"/>
    <s v="Residential - Channel"/>
    <s v="Schlage Residential Mechanical"/>
    <x v="10"/>
    <x v="12"/>
    <s v=""/>
    <s v="2026 / 02"/>
    <s v="Return / Replace / Scrap"/>
    <s v="Customer Care"/>
  </r>
  <r>
    <x v="71"/>
    <s v="CAS6417132"/>
    <s v="Issue"/>
    <s v="Return / Replace / Scrap"/>
    <s v="Incorrect/Missing Product"/>
    <m/>
    <m/>
    <s v="Schlage Residential"/>
    <s v="Lock"/>
    <x v="2"/>
    <x v="0"/>
    <s v="RMA RETURN FOR CREDIT / CHARGED RPL_x000a_OE ERROR_x000a_LINE 3 - QTY 4 - LOCK.F51A.BRW.622.16-086.10-027.134.KA4.C.48-180.2  CEN_x000a_LINE 4 - QTY 32 - LOCK.F40.BWE.622.16-080.10-027.134  COL_x000a_LINE 5 - QTY 8 -LOCK.F40.BRW.619.16-080.10-027.134  CEN_x000a_LINE 6 - QTY 16 - LOCK.F40.BRW.622.16-080.10-027.134  CEN_x000a_LINE 8 - QTY 24 - LOCK.F10.BWE.622.16-080.10-027.134  COL_x000a_LINE 9 - QTY 6 - LOCK.F10.BRW.619.16-080.10-027.134  CEN_x000a_LINE 10 - QTY 8 - LOCK.F10.BRW.622.16-080.10-027.134  CEN_x000a__x000a__x000a__x000a_We submitted PO 82553 using the Schlage order form; however, several line items were entered incorrectly and shipped. It appears the rosette selections included in the Additional Details column were overlooked on all lines except line 3 (F51A-BRW-622-CEN), which was processed correctly._x000a__x000a_Please ship the correct replacement items ASAP, as this issue has put us behind schedule on projects that were awaiting this hardware. Additionally, please advise on how you would like us to handle the incorrectly shipped material."/>
    <x v="1"/>
    <s v="14254576"/>
    <s v="82553"/>
    <s v="8144273"/>
    <n v="11"/>
    <s v="Schlage Residential"/>
    <s v="Lock"/>
    <s v="F Knob/Lever"/>
    <s v="Ensenada"/>
    <n v="21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s v="Order Management"/>
    <m/>
    <s v="043156478941"/>
    <s v="F40"/>
    <m/>
    <m/>
    <n v="46048.791666666701"/>
    <m/>
    <m/>
    <s v="Return and Replace"/>
    <s v="Active"/>
    <s v="Katie Ramsey"/>
    <s v="Katie Ramsey"/>
    <s v="Residential - Channel"/>
    <s v="Schlage Residential Mechanical"/>
    <x v="10"/>
    <x v="12"/>
    <s v=""/>
    <s v="2026 / 02"/>
    <s v="Return / Replace / Scrap"/>
    <s v="Customer Care"/>
  </r>
  <r>
    <x v="71"/>
    <s v="CAS6417132"/>
    <s v="Issue"/>
    <s v="Return / Replace / Scrap"/>
    <s v="Incorrect/Missing Product"/>
    <m/>
    <m/>
    <s v="Schlage Residential"/>
    <s v="Lock"/>
    <x v="2"/>
    <x v="0"/>
    <s v="RMA RETURN FOR CREDIT / CHARGED RPL_x000a_OE ERROR_x000a_LINE 3 - QTY 4 - LOCK.F51A.BRW.622.16-086.10-027.134.KA4.C.48-180.2  CEN_x000a_LINE 4 - QTY 32 - LOCK.F40.BWE.622.16-080.10-027.134  COL_x000a_LINE 5 - QTY 8 -LOCK.F40.BRW.619.16-080.10-027.134  CEN_x000a_LINE 6 - QTY 16 - LOCK.F40.BRW.622.16-080.10-027.134  CEN_x000a_LINE 8 - QTY 24 - LOCK.F10.BWE.622.16-080.10-027.134  COL_x000a_LINE 9 - QTY 6 - LOCK.F10.BRW.619.16-080.10-027.134  CEN_x000a_LINE 10 - QTY 8 - LOCK.F10.BRW.622.16-080.10-027.134  CEN_x000a__x000a__x000a__x000a_We submitted PO 82553 using the Schlage order form; however, several line items were entered incorrectly and shipped. It appears the rosette selections included in the Additional Details column were overlooked on all lines except line 3 (F51A-BRW-622-CEN), which was processed correctly._x000a__x000a_Please ship the correct replacement items ASAP, as this issue has put us behind schedule on projects that were awaiting this hardware. Additionally, please advise on how you would like us to handle the incorrectly shipped material."/>
    <x v="1"/>
    <s v="14254576"/>
    <s v="82553"/>
    <s v="8144273"/>
    <n v="10"/>
    <s v="Schlage Residential"/>
    <s v="Lock"/>
    <s v="F Knob/Lever"/>
    <s v="Ensenada"/>
    <n v="8"/>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s v="Order Management"/>
    <m/>
    <s v="043156478941"/>
    <s v="F40"/>
    <m/>
    <m/>
    <n v="46048.791666666701"/>
    <m/>
    <m/>
    <s v="Return and Replace"/>
    <s v="Active"/>
    <s v="Katie Ramsey"/>
    <s v="Katie Ramsey"/>
    <s v="Residential - Channel"/>
    <s v="Schlage Residential Mechanical"/>
    <x v="10"/>
    <x v="12"/>
    <s v=""/>
    <s v="2026 / 02"/>
    <s v="Return / Replace / Scrap"/>
    <s v="Customer Care"/>
  </r>
  <r>
    <x v="71"/>
    <s v="CAS6417132"/>
    <s v="Issue"/>
    <s v="Return / Replace / Scrap"/>
    <s v="Incorrect/Missing Product"/>
    <m/>
    <m/>
    <s v="Schlage Residential"/>
    <s v="Lock"/>
    <x v="2"/>
    <x v="0"/>
    <s v="RMA RETURN FOR CREDIT / CHARGED RPL_x000a_OE ERROR_x000a_LINE 3 - QTY 4 - LOCK.F51A.BRW.622.16-086.10-027.134.KA4.C.48-180.2  CEN_x000a_LINE 4 - QTY 32 - LOCK.F40.BWE.622.16-080.10-027.134  COL_x000a_LINE 5 - QTY 8 -LOCK.F40.BRW.619.16-080.10-027.134  CEN_x000a_LINE 6 - QTY 16 - LOCK.F40.BRW.622.16-080.10-027.134  CEN_x000a_LINE 8 - QTY 24 - LOCK.F10.BWE.622.16-080.10-027.134  COL_x000a_LINE 9 - QTY 6 - LOCK.F10.BRW.619.16-080.10-027.134  CEN_x000a_LINE 10 - QTY 8 - LOCK.F10.BRW.622.16-080.10-027.134  CEN_x000a__x000a__x000a__x000a_We submitted PO 82553 using the Schlage order form; however, several line items were entered incorrectly and shipped. It appears the rosette selections included in the Additional Details column were overlooked on all lines except line 3 (F51A-BRW-622-CEN), which was processed correctly._x000a__x000a_Please ship the correct replacement items ASAP, as this issue has put us behind schedule on projects that were awaiting this hardware. Additionally, please advise on how you would like us to handle the incorrectly shipped material."/>
    <x v="1"/>
    <s v="14254576"/>
    <s v="82553"/>
    <s v="8144273"/>
    <n v="9"/>
    <s v="Schlage Residential"/>
    <s v="Lock"/>
    <s v="F Knob/Lever"/>
    <s v="Ensenada"/>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s v="Order Management"/>
    <m/>
    <s v="043156367788"/>
    <s v="F40"/>
    <m/>
    <m/>
    <n v="46048.791666666701"/>
    <m/>
    <m/>
    <s v="Return and Replace"/>
    <s v="Active"/>
    <s v="Katie Ramsey"/>
    <s v="Katie Ramsey"/>
    <s v="Residential - Channel"/>
    <s v="Schlage Residential Mechanical"/>
    <x v="10"/>
    <x v="12"/>
    <s v=""/>
    <s v="2026 / 02"/>
    <s v="Return / Replace / Scrap"/>
    <s v="Customer Care"/>
  </r>
  <r>
    <x v="71"/>
    <s v="CAS6417132"/>
    <s v="Issue"/>
    <s v="Return / Replace / Scrap"/>
    <s v="Incorrect/Missing Product"/>
    <m/>
    <m/>
    <s v="Schlage Residential"/>
    <s v="Lock"/>
    <x v="2"/>
    <x v="0"/>
    <s v="RMA RETURN FOR CREDIT / CHARGED RPL_x000a_OE ERROR_x000a_LINE 3 - QTY 4 - LOCK.F51A.BRW.622.16-086.10-027.134.KA4.C.48-180.2  CEN_x000a_LINE 4 - QTY 32 - LOCK.F40.BWE.622.16-080.10-027.134  COL_x000a_LINE 5 - QTY 8 -LOCK.F40.BRW.619.16-080.10-027.134  CEN_x000a_LINE 6 - QTY 16 - LOCK.F40.BRW.622.16-080.10-027.134  CEN_x000a_LINE 8 - QTY 24 - LOCK.F10.BWE.622.16-080.10-027.134  COL_x000a_LINE 9 - QTY 6 - LOCK.F10.BRW.619.16-080.10-027.134  CEN_x000a_LINE 10 - QTY 8 - LOCK.F10.BRW.622.16-080.10-027.134  CEN_x000a__x000a__x000a__x000a_We submitted PO 82553 using the Schlage order form; however, several line items were entered incorrectly and shipped. It appears the rosette selections included in the Additional Details column were overlooked on all lines except line 3 (F51A-BRW-622-CEN), which was processed correctly._x000a__x000a_Please ship the correct replacement items ASAP, as this issue has put us behind schedule on projects that were awaiting this hardware. Additionally, please advise on how you would like us to handle the incorrectly shipped material."/>
    <x v="1"/>
    <s v="14254576"/>
    <s v="82553"/>
    <s v="8144273"/>
    <n v="8"/>
    <s v="Schlage Residential"/>
    <s v="Lock"/>
    <s v="F Knob/Lever"/>
    <s v="Ensenada"/>
    <n v="24"/>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s v="Order Management"/>
    <m/>
    <s v="043156450473"/>
    <s v="F40"/>
    <m/>
    <m/>
    <n v="46048.791666666701"/>
    <m/>
    <m/>
    <s v="Return and Replace"/>
    <s v="Active"/>
    <s v="Katie Ramsey"/>
    <s v="Katie Ramsey"/>
    <s v="Residential - Channel"/>
    <s v="Schlage Residential Mechanical"/>
    <x v="10"/>
    <x v="12"/>
    <s v=""/>
    <s v="2026 / 02"/>
    <s v="Return / Replace / Scrap"/>
    <s v="Customer Care"/>
  </r>
  <r>
    <x v="71"/>
    <s v="CAS6417132"/>
    <s v="Issue"/>
    <s v="Return / Replace / Scrap"/>
    <s v="Incorrect/Missing Product"/>
    <m/>
    <m/>
    <s v="Schlage Residential"/>
    <s v="Lock"/>
    <x v="2"/>
    <x v="0"/>
    <s v="RMA RETURN FOR CREDIT / CHARGED RPL_x000a_OE ERROR_x000a_LINE 3 - QTY 4 - LOCK.F51A.BRW.622.16-086.10-027.134.KA4.C.48-180.2  CEN_x000a_LINE 4 - QTY 32 - LOCK.F40.BWE.622.16-080.10-027.134  COL_x000a_LINE 5 - QTY 8 -LOCK.F40.BRW.619.16-080.10-027.134  CEN_x000a_LINE 6 - QTY 16 - LOCK.F40.BRW.622.16-080.10-027.134  CEN_x000a_LINE 8 - QTY 24 - LOCK.F10.BWE.622.16-080.10-027.134  COL_x000a_LINE 9 - QTY 6 - LOCK.F10.BRW.619.16-080.10-027.134  CEN_x000a_LINE 10 - QTY 8 - LOCK.F10.BRW.622.16-080.10-027.134  CEN_x000a__x000a__x000a__x000a_We submitted PO 82553 using the Schlage order form; however, several line items were entered incorrectly and shipped. It appears the rosette selections included in the Additional Details column were overlooked on all lines except line 3 (F51A-BRW-622-CEN), which was processed correctly._x000a__x000a_Please ship the correct replacement items ASAP, as this issue has put us behind schedule on projects that were awaiting this hardware. Additionally, please advise on how you would like us to handle the incorrectly shipped material."/>
    <x v="1"/>
    <s v="14254576"/>
    <s v="82553"/>
    <s v="8144273"/>
    <n v="6"/>
    <s v="Schlage Residential"/>
    <s v="Lock"/>
    <s v="F Knob/Lever"/>
    <s v="Ensenada"/>
    <n v="1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s v="Order Management"/>
    <m/>
    <s v="043156479986"/>
    <m/>
    <m/>
    <m/>
    <n v="46048.791666666701"/>
    <m/>
    <m/>
    <s v="Return and Replace"/>
    <s v="Active"/>
    <s v="Katie Ramsey"/>
    <s v="Katie Ramsey"/>
    <s v="Residential - Channel"/>
    <s v="Schlage Residential Mechanical"/>
    <x v="10"/>
    <x v="12"/>
    <s v=""/>
    <s v="2026 / 02"/>
    <s v="Return / Replace / Scrap"/>
    <s v="Customer Care"/>
  </r>
  <r>
    <x v="71"/>
    <s v="CAS6417132"/>
    <s v="Issue"/>
    <s v="Return / Replace / Scrap"/>
    <s v="Incorrect/Missing Product"/>
    <m/>
    <m/>
    <s v="Schlage Residential"/>
    <s v="Lock"/>
    <x v="2"/>
    <x v="0"/>
    <s v="RMA RETURN FOR CREDIT / CHARGED RPL_x000a_OE ERROR_x000a_LINE 3 - QTY 4 - LOCK.F51A.BRW.622.16-086.10-027.134.KA4.C.48-180.2  CEN_x000a_LINE 4 - QTY 32 - LOCK.F40.BWE.622.16-080.10-027.134  COL_x000a_LINE 5 - QTY 8 -LOCK.F40.BRW.619.16-080.10-027.134  CEN_x000a_LINE 6 - QTY 16 - LOCK.F40.BRW.622.16-080.10-027.134  CEN_x000a_LINE 8 - QTY 24 - LOCK.F10.BWE.622.16-080.10-027.134  COL_x000a_LINE 9 - QTY 6 - LOCK.F10.BRW.619.16-080.10-027.134  CEN_x000a_LINE 10 - QTY 8 - LOCK.F10.BRW.622.16-080.10-027.134  CEN_x000a__x000a__x000a__x000a_We submitted PO 82553 using the Schlage order form; however, several line items were entered incorrectly and shipped. It appears the rosette selections included in the Additional Details column were overlooked on all lines except line 3 (F51A-BRW-622-CEN), which was processed correctly._x000a__x000a_Please ship the correct replacement items ASAP, as this issue has put us behind schedule on projects that were awaiting this hardware. Additionally, please advise on how you would like us to handle the incorrectly shipped material."/>
    <x v="1"/>
    <s v="14254576"/>
    <s v="82553"/>
    <s v="8144273"/>
    <n v="5"/>
    <s v="Schlage Residential"/>
    <s v="Lock"/>
    <s v="F Knob/Lever"/>
    <s v="Ensenada"/>
    <n v="5"/>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s v="Order Management"/>
    <m/>
    <s v="043156368181"/>
    <m/>
    <m/>
    <m/>
    <n v="46048.791666666701"/>
    <m/>
    <m/>
    <s v="Return and Replace"/>
    <s v="Active"/>
    <s v="Katie Ramsey"/>
    <s v="Katie Ramsey"/>
    <s v="Residential - Channel"/>
    <s v="Schlage Residential Mechanical"/>
    <x v="10"/>
    <x v="12"/>
    <s v=""/>
    <s v="2026 / 02"/>
    <s v="Return / Replace / Scrap"/>
    <s v="Customer Care"/>
  </r>
  <r>
    <x v="71"/>
    <s v="CAS6417132"/>
    <s v="Issue"/>
    <s v="Return / Replace / Scrap"/>
    <s v="Incorrect/Missing Product"/>
    <m/>
    <m/>
    <s v="Schlage Residential"/>
    <s v="Lock"/>
    <x v="2"/>
    <x v="0"/>
    <s v="RMA RETURN FOR CREDIT / CHARGED RPL_x000a_OE ERROR_x000a_LINE 3 - QTY 4 - LOCK.F51A.BRW.622.16-086.10-027.134.KA4.C.48-180.2  CEN_x000a_LINE 4 - QTY 32 - LOCK.F40.BWE.622.16-080.10-027.134  COL_x000a_LINE 5 - QTY 8 -LOCK.F40.BRW.619.16-080.10-027.134  CEN_x000a_LINE 6 - QTY 16 - LOCK.F40.BRW.622.16-080.10-027.134  CEN_x000a_LINE 8 - QTY 24 - LOCK.F10.BWE.622.16-080.10-027.134  COL_x000a_LINE 9 - QTY 6 - LOCK.F10.BRW.619.16-080.10-027.134  CEN_x000a_LINE 10 - QTY 8 - LOCK.F10.BRW.622.16-080.10-027.134  CEN_x000a__x000a__x000a__x000a_We submitted PO 82553 using the Schlage order form; however, several line items were entered incorrectly and shipped. It appears the rosette selections included in the Additional Details column were overlooked on all lines except line 3 (F51A-BRW-622-CEN), which was processed correctly._x000a__x000a_Please ship the correct replacement items ASAP, as this issue has put us behind schedule on projects that were awaiting this hardware. Additionally, please advise on how you would like us to handle the incorrectly shipped material."/>
    <x v="1"/>
    <s v="14254576"/>
    <s v="82553"/>
    <s v="8144273"/>
    <n v="4"/>
    <s v="Schlage Residential"/>
    <s v="Lock"/>
    <s v="F Knob/Lever"/>
    <s v="Ensenada"/>
    <n v="3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s v="Order Management"/>
    <m/>
    <s v="043156450770"/>
    <m/>
    <m/>
    <m/>
    <n v="46048.791666666701"/>
    <m/>
    <m/>
    <s v="Return and Replace"/>
    <s v="Active"/>
    <s v="Katie Ramsey"/>
    <s v="Katie Ramsey"/>
    <s v="Residential - Channel"/>
    <s v="Schlage Residential Mechanical"/>
    <x v="10"/>
    <x v="12"/>
    <s v=""/>
    <s v="2026 / 02"/>
    <s v="Return / Replace / Scrap"/>
    <s v="Customer Care"/>
  </r>
  <r>
    <x v="71"/>
    <s v="CAS6417132"/>
    <s v="Issue"/>
    <s v="Return / Replace / Scrap"/>
    <s v="Incorrect/Missing Product"/>
    <m/>
    <m/>
    <s v="Schlage Residential"/>
    <s v="Lock"/>
    <x v="2"/>
    <x v="0"/>
    <s v="RMA RETURN FOR CREDIT / CHARGED RPL_x000a_OE ERROR_x000a_LINE 3 - QTY 4 - LOCK.F51A.BRW.622.16-086.10-027.134.KA4.C.48-180.2  CEN_x000a_LINE 4 - QTY 32 - LOCK.F40.BWE.622.16-080.10-027.134  COL_x000a_LINE 5 - QTY 8 -LOCK.F40.BRW.619.16-080.10-027.134  CEN_x000a_LINE 6 - QTY 16 - LOCK.F40.BRW.622.16-080.10-027.134  CEN_x000a_LINE 8 - QTY 24 - LOCK.F10.BWE.622.16-080.10-027.134  COL_x000a_LINE 9 - QTY 6 - LOCK.F10.BRW.619.16-080.10-027.134  CEN_x000a_LINE 10 - QTY 8 - LOCK.F10.BRW.622.16-080.10-027.134  CEN_x000a__x000a__x000a__x000a_We submitted PO 82553 using the Schlage order form; however, several line items were entered incorrectly and shipped. It appears the rosette selections included in the Additional Details column were overlooked on all lines except line 3 (F51A-BRW-622-CEN), which was processed correctly._x000a__x000a_Please ship the correct replacement items ASAP, as this issue has put us behind schedule on projects that were awaiting this hardware. Additionally, please advise on how you would like us to handle the incorrectly shipped material."/>
    <x v="1"/>
    <s v="14254576"/>
    <s v="82553"/>
    <s v="8144273"/>
    <n v="3"/>
    <s v="Schlage Residential"/>
    <s v="Lock"/>
    <s v="F Knob/Lever"/>
    <s v="Ensenada"/>
    <n v="4"/>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s v="Order Management"/>
    <m/>
    <s v="043156083664"/>
    <m/>
    <m/>
    <m/>
    <n v="46048.791666666701"/>
    <m/>
    <m/>
    <s v="Return and Replace"/>
    <s v="Active"/>
    <s v="Katie Ramsey"/>
    <s v="Katie Ramsey"/>
    <s v="Residential - Channel"/>
    <s v="Schlage Residential Mechanical"/>
    <x v="10"/>
    <x v="12"/>
    <s v=""/>
    <s v="2026 / 02"/>
    <s v="Return / Replace / Scrap"/>
    <s v="Customer Care"/>
  </r>
  <r>
    <x v="72"/>
    <s v="CAS6416207"/>
    <s v="Issue"/>
    <s v="Return / Replace / Scrap"/>
    <s v="Quantity"/>
    <m/>
    <m/>
    <s v="Schlage Residential"/>
    <s v="Lock"/>
    <x v="3"/>
    <x v="0"/>
    <s v="awaiting clarification _x000a__x000a_SIF CREDIT /RPL | LINE 1 | QTY 20 _x000a_LOCK.B60.N.COL.619.12-321.10-116.134.KA4.C.48-180.2_x000a__x000a_FORT MYERS_#312800_x000a__x000a__x000a_Is there anything else we should know about your request?: The R&amp;L delivery was shorted 20 of the B60COL619. No packing acknowledgement was on the pallet._x000a_Selected primary Product Type: Mechanical Locks_x000a_Do you also need to update the Ship To Address on your order?: No_x000a_The original ship-to address is saved on the shipping tab._x000a_One or more files were provided by the customer and saved in the timeline._x000a_Email: mmason@americanbuildsupply.com_x000a_Phone Number: 239-931-9785_x000a_Preferred Contact Method: Email"/>
    <x v="18"/>
    <s v="14253595"/>
    <s v="664770"/>
    <s v="8143250"/>
    <n v="1"/>
    <s v="Schlage Residential"/>
    <s v="Lock"/>
    <s v="B"/>
    <s v="Ensenada"/>
    <n v="20"/>
    <s v="0641033~Allegion Shipped Incorrect Amount|1040~(Allegion) Spedito Valore/Q.tà Errato|3082~Allegion envió una cantidad incorrecta|1036~Allegion a expédié un montant incorrect"/>
    <s v="3251033~Shortage|1040~Mancanza|1055~Eksiklik|3082~Escaso|1036~Rupture"/>
    <m/>
    <s v="Shipping"/>
    <m/>
    <s v="043156501274"/>
    <s v="B60"/>
    <m/>
    <m/>
    <n v="46047.791666666701"/>
    <m/>
    <m/>
    <s v="Credit Request"/>
    <s v="Resolved"/>
    <s v="Portal Cases"/>
    <s v="Kris Learned"/>
    <s v="Residential - Channel"/>
    <s v="Schlage Residential Mechanical"/>
    <x v="4"/>
    <x v="10"/>
    <s v=""/>
    <s v="2026 / 02"/>
    <s v="Return / Replace / Scrap"/>
    <s v="Product"/>
  </r>
  <r>
    <x v="73"/>
    <s v="CAS6421723"/>
    <s v="Issue"/>
    <s v="Credit / Debit Request"/>
    <s v="Pricing Adjustment"/>
    <m/>
    <m/>
    <s v="Schlage Residential"/>
    <s v="Lock"/>
    <x v="1"/>
    <x v="0"/>
    <s v="PER MIKE CAMAROTE, SURCHARGE NEEDS TO BE CREDITED, CUSTOMER SHORT PAID FOR PO 65164. EXCEL SHEET ATTACHED TO CASE_x000a__x000a_TOTAL CREDIT--$854.98"/>
    <x v="27"/>
    <s v="14223934"/>
    <s v="65164"/>
    <s v="8090124"/>
    <m/>
    <s v="Schlage Residential"/>
    <s v="Lock"/>
    <s v="F Handleset"/>
    <s v="Ensenada"/>
    <n v="1"/>
    <s v="Surcharge Revision"/>
    <s v="Surcharge Revision"/>
    <m/>
    <s v="IT"/>
    <m/>
    <m/>
    <m/>
    <m/>
    <m/>
    <n v="45994.791666666701"/>
    <m/>
    <m/>
    <s v="Credit Request"/>
    <s v="Resolved"/>
    <s v="Jessica Cook"/>
    <s v="Jessica Cook"/>
    <s v="Residential - Channel"/>
    <s v="Schlage Residential Mechanical"/>
    <x v="3"/>
    <x v="18"/>
    <s v=""/>
    <s v="2026 / 02"/>
    <s v="Credit / Debit Request"/>
    <s v="Customer Care"/>
  </r>
  <r>
    <x v="74"/>
    <s v="CAS6448466"/>
    <s v="Issue"/>
    <s v="Return / Replace / Scrap"/>
    <s v="Incorrect/Missing Product"/>
    <m/>
    <m/>
    <s v="Schlage Residential"/>
    <s v="Lock"/>
    <x v="3"/>
    <x v="0"/>
    <s v="SIF-CREDIT_x000a_043156971879_x000a_LINE 68- LOCK.B60.N.COL.622.12-321.10-092.134.KD.C.48-180.2 QTY 1 NOT RECEIVED_x000a_CREDIT AMOUNT - $38.02_x000a_925858_x000a_2902 MAYFIELD RD STE 100_x000a_GRAND PRAIRIE, TX 75052_x000a_--------------------------------------------------------------------------------------------------------------------------------_x000a_Selected credit reason: Other_x000a_Is there anything else we should know about this request: item missing from po- no need for repl credit only._x000a_Email: ashley.grant@bannersolutions.com_x000a_Phone Number: +18883620750_x000a_Preferred Contact Method: Email"/>
    <x v="28"/>
    <s v="14255895"/>
    <s v="6377112"/>
    <s v="8146291"/>
    <n v="68"/>
    <s v="Schlage Residential"/>
    <s v="Lock"/>
    <s v="B"/>
    <s v="Ensenada"/>
    <n v="1"/>
    <s v="0213082~Allegion no envió un producto/pieza|1040~(Alle) Spedito Articolo/Componente mancante|1036~Allegion a envoyé un produit ou une pièce manquante|1033~Allegion Sent Missing Product / Part"/>
    <s v="9741040~Prodotto Mancante|1033~Missing Product|1036~Produit manquant"/>
    <m/>
    <s v="Product"/>
    <m/>
    <s v="043156971879"/>
    <m/>
    <m/>
    <m/>
    <n v="46055.791666666701"/>
    <m/>
    <m/>
    <s v="Credit Request"/>
    <s v="Resolved"/>
    <s v="Portal Cases"/>
    <s v="Erika Harris"/>
    <s v="Residential - Channel"/>
    <s v="Schlage Residential Mechanical"/>
    <x v="9"/>
    <x v="11"/>
    <s v=""/>
    <s v="2026 / 02"/>
    <s v="Return / Replace / Scrap"/>
    <s v="Product"/>
  </r>
  <r>
    <x v="75"/>
    <s v="CAS6440720"/>
    <s v="Issue"/>
    <s v="Return / Replace / Scrap"/>
    <s v="Shipping"/>
    <m/>
    <m/>
    <s v="Schlage Residential"/>
    <s v="Lock"/>
    <x v="1"/>
    <x v="0"/>
    <s v="NCR | LOST IN TRANSIT | UPS - 1Z9W01V60396035679_x000a__x000a_LINE 1, QTY 1: LOCK.F58.CAM.505.134.KA.DETAIL.C.48-180.2_x000a_CHANGE KEY 53154_x000a__x000a_PO43707/SO#1624305_x000a__x000a_FORT MYERS_939958"/>
    <x v="29"/>
    <s v="14253035"/>
    <s v="PO43707"/>
    <s v="8146436"/>
    <m/>
    <m/>
    <m/>
    <m/>
    <m/>
    <m/>
    <m/>
    <m/>
    <m/>
    <m/>
    <m/>
    <m/>
    <m/>
    <m/>
    <m/>
    <m/>
    <m/>
    <m/>
    <m/>
    <s v="Resolved"/>
    <s v="Janelta Crawford"/>
    <s v="Janelta Crawford"/>
    <s v="Residential - Channel"/>
    <s v="Schlage Residential Mechanical"/>
    <x v="8"/>
    <x v="9"/>
    <s v=""/>
    <s v="2026 / 02"/>
    <s v="Return / Replace / Scrap"/>
    <s v="Customer Care"/>
  </r>
  <r>
    <x v="76"/>
    <s v="CAS6439702"/>
    <s v="Issue"/>
    <s v="Credit / Debit Request"/>
    <s v="Pricing Adjustment"/>
    <m/>
    <m/>
    <s v="Schlage Residential"/>
    <s v="Lock"/>
    <x v="2"/>
    <x v="1"/>
    <s v="Credit Internal Use Only/Do not send to Orgill for concealed shortage / Damage._x000a_Customer  8151884DMQ_x000a__x000a_See attached request."/>
    <x v="30"/>
    <s v="14255479 - SO03248082"/>
    <s v="13794030"/>
    <s v="8151884"/>
    <n v="28"/>
    <s v="Schlage Residential"/>
    <s v="Lock"/>
    <s v="F Knob/Lever"/>
    <s v="Olathe"/>
    <n v="4"/>
    <s v="0531033~Quote / Product Error|1040~Errore Offerta / Prodotto|3082~Oferta / error producto|1036~Erreur de devis / produit"/>
    <s v="0171033~Broken Package|1040~Collo Rotto|3082~Embalaje roto|1036~Emballage cassé"/>
    <m/>
    <s v="Sales"/>
    <m/>
    <s v="720018999218 / 324-0967"/>
    <m/>
    <m/>
    <m/>
    <n v="46053.791666666701"/>
    <m/>
    <m/>
    <s v="Credit Request"/>
    <s v="Resolved"/>
    <s v="Curt Moore"/>
    <s v="Curt Moore"/>
    <s v="Residential - Channel"/>
    <s v="Schlage Residential Mechanical"/>
    <x v="5"/>
    <x v="5"/>
    <s v=""/>
    <s v="2026 / 02"/>
    <s v="Credit / Debit Request"/>
    <s v="Customer Care"/>
  </r>
  <r>
    <x v="76"/>
    <s v="CAS6439702"/>
    <s v="Issue"/>
    <s v="Credit / Debit Request"/>
    <s v="Pricing Adjustment"/>
    <m/>
    <m/>
    <s v="Schlage Residential"/>
    <s v="Lock"/>
    <x v="2"/>
    <x v="1"/>
    <s v="Credit Internal Use Only/Do not send to Orgill for concealed shortage / Damage._x000a_Customer  8151884DMQ_x000a__x000a_See attached request."/>
    <x v="30"/>
    <s v="14255479 - SO03248082"/>
    <s v="13794030"/>
    <s v="8151884"/>
    <n v="19"/>
    <s v="Schlage Residential"/>
    <s v="Lock"/>
    <s v="F Knob/Lever"/>
    <s v="Olathe"/>
    <n v="2"/>
    <s v="0531033~Quote / Product Error|1040~Errore Offerta / Prodotto|3082~Oferta / error producto|1036~Erreur de devis / produit"/>
    <s v="0171033~Broken Package|1040~Collo Rotto|3082~Embalaje roto|1036~Emballage cassé"/>
    <m/>
    <s v="Sales"/>
    <m/>
    <s v="043156719587 / 196-1374"/>
    <m/>
    <m/>
    <m/>
    <n v="46053.791666666701"/>
    <m/>
    <m/>
    <s v="Credit Request"/>
    <s v="Resolved"/>
    <s v="Curt Moore"/>
    <s v="Curt Moore"/>
    <s v="Residential - Channel"/>
    <s v="Schlage Residential Mechanical"/>
    <x v="5"/>
    <x v="5"/>
    <s v=""/>
    <s v="2026 / 02"/>
    <s v="Credit / Debit Request"/>
    <s v="Customer Care"/>
  </r>
  <r>
    <x v="76"/>
    <s v="CAS6439702"/>
    <s v="Issue"/>
    <s v="Credit / Debit Request"/>
    <s v="Pricing Adjustment"/>
    <m/>
    <m/>
    <s v="Schlage Residential"/>
    <s v="Lock"/>
    <x v="2"/>
    <x v="1"/>
    <s v="Credit Internal Use Only/Do not send to Orgill for concealed shortage / Damage._x000a_Customer  8151884DMQ_x000a__x000a_See attached request."/>
    <x v="30"/>
    <s v="14255479 - SO03248082"/>
    <s v="13794030"/>
    <s v="8151884"/>
    <n v="5"/>
    <s v="Schlage Residential"/>
    <s v="Lock"/>
    <s v="F Knob/Lever"/>
    <s v="Olathe"/>
    <n v="4"/>
    <s v="0531033~Quote / Product Error|1040~Errore Offerta / Prodotto|3082~Oferta / error producto|1036~Erreur de devis / produit"/>
    <s v="0171033~Broken Package|1040~Collo Rotto|3082~Embalaje roto|1036~Emballage cassé"/>
    <m/>
    <s v="Sales"/>
    <m/>
    <s v="194555138193 / 443-8321"/>
    <m/>
    <m/>
    <m/>
    <n v="46053.791666666701"/>
    <m/>
    <m/>
    <s v="Credit Request"/>
    <s v="Resolved"/>
    <s v="Curt Moore"/>
    <s v="Curt Moore"/>
    <s v="Residential - Channel"/>
    <s v="Schlage Residential Mechanical"/>
    <x v="5"/>
    <x v="5"/>
    <s v=""/>
    <s v="2026 / 02"/>
    <s v="Credit / Debit Request"/>
    <s v="Customer Care"/>
  </r>
  <r>
    <x v="76"/>
    <s v="CAS6439702"/>
    <s v="Issue"/>
    <s v="Credit / Debit Request"/>
    <s v="Pricing Adjustment"/>
    <m/>
    <m/>
    <s v="Schlage Residential"/>
    <s v="Lock"/>
    <x v="2"/>
    <x v="1"/>
    <s v="Credit Internal Use Only/Do not send to Orgill for concealed shortage / Damage._x000a_Customer  8151884DMQ_x000a__x000a_See attached request."/>
    <x v="30"/>
    <s v="14255479 - SO03248082"/>
    <s v="13794030"/>
    <s v="8151884"/>
    <n v="4"/>
    <s v="Schlage Residential"/>
    <s v="Lock"/>
    <s v="F Knob/Lever"/>
    <s v="Olathe"/>
    <n v="2"/>
    <s v="0531033~Quote / Product Error|1040~Errore Offerta / Prodotto|3082~Oferta / error producto|1036~Erreur de devis / produit"/>
    <s v="0171033~Broken Package|1040~Collo Rotto|3082~Embalaje roto|1036~Emballage cassé"/>
    <m/>
    <s v="Sales"/>
    <m/>
    <s v="043156062430 / 443-8370"/>
    <m/>
    <m/>
    <m/>
    <n v="46053.791666666701"/>
    <m/>
    <m/>
    <s v="Credit Request"/>
    <s v="Resolved"/>
    <s v="Curt Moore"/>
    <s v="Curt Moore"/>
    <s v="Residential - Channel"/>
    <s v="Schlage Residential Mechanical"/>
    <x v="5"/>
    <x v="5"/>
    <s v=""/>
    <s v="2026 / 02"/>
    <s v="Credit / Debit Request"/>
    <s v="Customer Care"/>
  </r>
  <r>
    <x v="77"/>
    <s v="CAS6414467"/>
    <s v="Issue"/>
    <s v="Credit / Debit Request"/>
    <s v="Header / Shipping &amp; Handling Adjustment"/>
    <m/>
    <m/>
    <s v="Schlage Residential"/>
    <s v="Lock"/>
    <x v="1"/>
    <x v="0"/>
    <s v="INVOICES ONLY CHARGED 20.00 FOR SHIPPING ON INV 8126692 INV 8146827 NOT CHARGED. _x000a__x000a__x000a_Selected credit reason: Freight_x000a_Is there anything else we should know about this request: We were only supposed to be charged $20 shipping for our PO no. 40030 and we were charged $20 on invoice no. 8126692 and then $8.10 on this invoice._x000a_One or more files were provided by the customer and saved in the timeline._x000a_Email: dreed@americanopenings.com_x000a_Phone Number: 5205748783_x000a_Preferred Contact Method: Email"/>
    <x v="31"/>
    <s v="14244030"/>
    <s v="40030"/>
    <s v="8146827; 8126692"/>
    <m/>
    <m/>
    <m/>
    <m/>
    <m/>
    <m/>
    <s v="0791033~Incorrect Shipping &amp; Handling|1040~Spedizione &amp; gestione errati|3082~Envío y manejo incorrectos|1036~Expédition et manutention incorrectes"/>
    <s v="4371040~Distrib/Fabbrica - Addebito trasporto erratog|3082~Cargo flete incorrecto: Distribución/Fábrica|1033~Distrib / Factory - Incorrect Freight Charge|1036~Frais de port incorrects"/>
    <m/>
    <m/>
    <m/>
    <m/>
    <m/>
    <m/>
    <m/>
    <m/>
    <m/>
    <m/>
    <s v="Credit Request"/>
    <s v="Resolved"/>
    <s v="Portal Cases"/>
    <s v="Bionica Brown"/>
    <s v="Residential - Channel"/>
    <s v="Schlage Residential Mechanical"/>
    <x v="14"/>
    <x v="19"/>
    <s v=""/>
    <s v="2026 / 02"/>
    <s v="Credit / Debit Request"/>
    <s v="Customer Care"/>
  </r>
  <r>
    <x v="78"/>
    <s v="CAS6446011"/>
    <s v="Issue"/>
    <s v="Return / Replace / Scrap"/>
    <s v="Defective Product"/>
    <m/>
    <s v="Out of Box"/>
    <s v="Schlage Residential"/>
    <s v="Lock"/>
    <x v="2"/>
    <x v="0"/>
    <s v="NCR | RECEIVED DAMAGED | WRAP IN TACT | BELIEVES WAS DAMAGED BEFORE CARRIER PICK UP | SENDING PICTURES_x000a_LINE 1, QTY 1: LOCK.F10.LAT.622.COL..16-080.10-027.134_x000a_LINE 2, QTY 3: LOCK.F40.LAT.622.COL..16-080.10-027.134_x000a__x000a_CC: RHONDAM@CUSTOMMILLWORKINC.COM"/>
    <x v="32"/>
    <s v="14258363"/>
    <s v="104472"/>
    <s v="8148618"/>
    <n v="2"/>
    <s v="Schlage Residential"/>
    <s v="Lock"/>
    <s v="F Knob/Lever"/>
    <s v="Ensenada"/>
    <n v="3"/>
    <s v="0071033~Appearance / Finish|1040~Estetica / Finitura|3082~Estética / Acabado|1036~Apparence/Finition"/>
    <s v="0491033~Dented / Scratches|1040~Ammaccato/graffiato|3082~Abollado/rayado|1036~Bosselé / rayé"/>
    <m/>
    <s v="Product"/>
    <m/>
    <s v="194555031661"/>
    <s v="F40"/>
    <m/>
    <m/>
    <n v="46051.791666666701"/>
    <m/>
    <m/>
    <s v="Replace Only"/>
    <s v="Resolved"/>
    <s v="Janelta Crawford"/>
    <s v="Janelta Crawford"/>
    <s v="Residential - Channel"/>
    <s v="Schlage Residential Mechanical"/>
    <x v="2"/>
    <x v="2"/>
    <s v=""/>
    <s v="2026 / 02"/>
    <s v="Return / Replace / Scrap"/>
    <s v="Product"/>
  </r>
  <r>
    <x v="78"/>
    <s v="CAS6446011"/>
    <s v="Issue"/>
    <s v="Return / Replace / Scrap"/>
    <s v="Defective Product"/>
    <m/>
    <s v="Out of Box"/>
    <s v="Schlage Residential"/>
    <s v="Lock"/>
    <x v="2"/>
    <x v="0"/>
    <s v="NCR | RECEIVED DAMAGED | WRAP IN TACT | BELIEVES WAS DAMAGED BEFORE CARRIER PICK UP | SENDING PICTURES_x000a_LINE 1, QTY 1: LOCK.F10.LAT.622.COL..16-080.10-027.134_x000a_LINE 2, QTY 3: LOCK.F40.LAT.622.COL..16-080.10-027.134_x000a__x000a_CC: RHONDAM@CUSTOMMILLWORKINC.COM"/>
    <x v="32"/>
    <s v="14258363"/>
    <s v="104472"/>
    <s v="8148618"/>
    <n v="1"/>
    <s v="Schlage Residential"/>
    <s v="Lock"/>
    <s v="F Knob/Lever"/>
    <s v="Ensenada"/>
    <n v="1"/>
    <s v="0071033~Appearance / Finish|1040~Estetica / Finitura|3082~Estética / Acabado|1036~Apparence/Finition"/>
    <s v="0491033~Dented / Scratches|1040~Ammaccato/graffiato|3082~Abollado/rayado|1036~Bosselé / rayé"/>
    <m/>
    <s v="Product"/>
    <m/>
    <s v="043156035014"/>
    <s v="F10"/>
    <m/>
    <m/>
    <n v="46051.791666666701"/>
    <m/>
    <m/>
    <s v="Replace Only"/>
    <s v="Resolved"/>
    <s v="Janelta Crawford"/>
    <s v="Janelta Crawford"/>
    <s v="Residential - Channel"/>
    <s v="Schlage Residential Mechanical"/>
    <x v="2"/>
    <x v="2"/>
    <s v=""/>
    <s v="2026 / 02"/>
    <s v="Return / Replace / Scrap"/>
    <s v="Product"/>
  </r>
  <r>
    <x v="79"/>
    <s v="CAS6444944"/>
    <s v="Issue"/>
    <s v="Return / Replace / Scrap"/>
    <s v="Shipping"/>
    <m/>
    <m/>
    <s v="Schlage Residential"/>
    <s v="Lock"/>
    <x v="2"/>
    <x v="0"/>
    <s v="SIF CREDIT/CHARGED RPL | TRACKING SHOWS DELIVERED, BUT NEVER RECEIVED AT SHIP TO ADDRESS | NO ONE IN RECEIVING MET UPS FOR DELIVERY OF THIS ORDER._x000a__x000a_LINE 1, QTY 15: LOCK.F40.ORB.619.16080.10-027.134_x000a_043156770892_x000a__x000a_UPS - 1Z9W01V60395310006_x000a_SHIPPED 1/26/26_x000a__x000a_WORCESTER_924849_x000a_ATTN: EVANS ESSUMAN  (508) 853-5602"/>
    <x v="33"/>
    <s v="14252085"/>
    <s v="265.422170"/>
    <s v="8138048"/>
    <n v="1"/>
    <s v="Schlage Residential"/>
    <s v="Lock"/>
    <s v="F Knob/Lever"/>
    <s v="Ensenada"/>
    <n v="1"/>
    <s v="Surcharge Revision"/>
    <s v="Surcharge Revision"/>
    <m/>
    <s v="IT"/>
    <m/>
    <s v="043156770892"/>
    <m/>
    <m/>
    <m/>
    <n v="46042.791666666701"/>
    <m/>
    <m/>
    <s v="Credit Request"/>
    <s v="Active"/>
    <s v="Janelta Crawford"/>
    <s v="Janelta Crawford"/>
    <s v="Residential - Channel"/>
    <s v="Schlage Residential Mechanical"/>
    <x v="3"/>
    <x v="18"/>
    <s v=""/>
    <s v="2026 / 02"/>
    <s v="Return / Replace / Scrap"/>
    <s v="Customer Care"/>
  </r>
  <r>
    <x v="79"/>
    <s v="CAS6444944"/>
    <s v="Issue"/>
    <s v="Return / Replace / Scrap"/>
    <s v="Shipping"/>
    <m/>
    <m/>
    <s v="Schlage Residential"/>
    <s v="Lock"/>
    <x v="2"/>
    <x v="0"/>
    <s v="SIF CREDIT/CHARGED RPL | TRACKING SHOWS DELIVERED, BUT NEVER RECEIVED AT SHIP TO ADDRESS | NO ONE IN RECEIVING MET UPS FOR DELIVERY OF THIS ORDER._x000a__x000a_LINE 1, QTY 15: LOCK.F40.ORB.619.16080.10-027.134_x000a_043156770892_x000a__x000a_UPS - 1Z9W01V60395310006_x000a_SHIPPED 1/26/26_x000a__x000a_WORCESTER_924849_x000a_ATTN: EVANS ESSUMAN  (508) 853-5602"/>
    <x v="33"/>
    <s v="14252085"/>
    <s v="265.422170"/>
    <s v="8138048"/>
    <m/>
    <s v="Schlage Residential"/>
    <s v="Lock"/>
    <s v="F Knob/Lever"/>
    <s v="Ensenada"/>
    <n v="1"/>
    <s v="Lost in Transit/Wrong Address"/>
    <s v="1743082~Dirección incorrecta - Transportista|1040~Indirizzo errato - Trasportatore|1036~Mauvaise adresse - Transporteur|1033~Wrong Address - Carrier"/>
    <m/>
    <s v="Carrier"/>
    <m/>
    <s v="S&amp;H CHARGES"/>
    <m/>
    <m/>
    <m/>
    <n v="46042.791666666701"/>
    <m/>
    <m/>
    <s v="Credit Request"/>
    <s v="Active"/>
    <s v="Janelta Crawford"/>
    <s v="Janelta Crawford"/>
    <s v="Residential - Channel"/>
    <s v="Schlage Residential Mechanical"/>
    <x v="3"/>
    <x v="20"/>
    <s v=""/>
    <s v="2026 / 02"/>
    <s v="Return / Replace / Scrap"/>
    <s v="Product"/>
  </r>
  <r>
    <x v="79"/>
    <s v="CAS6444944"/>
    <s v="Issue"/>
    <s v="Return / Replace / Scrap"/>
    <s v="Shipping"/>
    <m/>
    <m/>
    <s v="Schlage Residential"/>
    <s v="Lock"/>
    <x v="2"/>
    <x v="0"/>
    <s v="SIF CREDIT/CHARGED RPL | TRACKING SHOWS DELIVERED, BUT NEVER RECEIVED AT SHIP TO ADDRESS | NO ONE IN RECEIVING MET UPS FOR DELIVERY OF THIS ORDER._x000a__x000a_LINE 1, QTY 15: LOCK.F40.ORB.619.16080.10-027.134_x000a_043156770892_x000a__x000a_UPS - 1Z9W01V60395310006_x000a_SHIPPED 1/26/26_x000a__x000a_WORCESTER_924849_x000a_ATTN: EVANS ESSUMAN  (508) 853-5602"/>
    <x v="33"/>
    <s v="14252085"/>
    <s v="265.422170"/>
    <s v="8138048"/>
    <n v="1"/>
    <s v="Schlage Residential"/>
    <s v="Lock"/>
    <s v="F Knob/Lever"/>
    <s v="Ensenada"/>
    <n v="15"/>
    <s v="Lost in Transit/Wrong Address"/>
    <s v="1743082~Dirección incorrecta - Transportista|1040~Indirizzo errato - Trasportatore|1036~Mauvaise adresse - Transporteur|1033~Wrong Address - Carrier"/>
    <m/>
    <s v="Carrier"/>
    <m/>
    <s v="043156770892"/>
    <m/>
    <m/>
    <m/>
    <n v="46042.791666666701"/>
    <m/>
    <m/>
    <s v="Credit Request"/>
    <s v="Active"/>
    <s v="Janelta Crawford"/>
    <s v="Janelta Crawford"/>
    <s v="Residential - Channel"/>
    <s v="Schlage Residential Mechanical"/>
    <x v="3"/>
    <x v="20"/>
    <s v=""/>
    <s v="2026 / 02"/>
    <s v="Return / Replace / Scrap"/>
    <s v="Product"/>
  </r>
  <r>
    <x v="80"/>
    <s v="CAS6427935"/>
    <s v="Issue"/>
    <s v="Return / Replace / Scrap"/>
    <s v="Quantity"/>
    <m/>
    <m/>
    <s v="Schlage Residential"/>
    <s v="Lock"/>
    <x v="0"/>
    <x v="0"/>
    <s v="customer who purchased QTY1 FCT58ADD716 from PO#5291956 and is stating they did not receive the bolt cover. Would it be possible to have this shipped out under warranty directly to the customer at the address below?_x000a_Megan Williams_x000a_Solid Construction Group_x000a_13827 S Sprague Ln Suite 210_x000a_Draper, UT 84020_x000a_8018847988"/>
    <x v="2"/>
    <s v="14269204"/>
    <s v="CAS6427935_RPL"/>
    <m/>
    <m/>
    <s v="Schlage Residential"/>
    <s v="Lock"/>
    <s v="FC"/>
    <s v="Ensenada"/>
    <n v="1"/>
    <s v="0591033~Spec / Plan / Job Change|1036~Changement prescription/plan/emploi|1040~Spec / Plan / Job Change|3082~Especificación/Plan/Cambio trabajo"/>
    <s v="1403082~Especificación/Plan/Cambio trabajo|1040~Spec / Pian / Modifica lavoro|1033~Spec / Plan / Job Change|1036~Changement prescription/plan/emploi"/>
    <m/>
    <s v="Customer"/>
    <m/>
    <m/>
    <m/>
    <m/>
    <m/>
    <n v="46064.791666666701"/>
    <m/>
    <m/>
    <s v="Replace Only"/>
    <s v="Resolved"/>
    <s v="Kris Learned"/>
    <s v="Kris Learned"/>
    <s v="Residential - Channel"/>
    <s v="Schlage Residential Mechanical"/>
    <x v="15"/>
    <x v="21"/>
    <s v=""/>
    <s v="2026 / 02"/>
    <s v="Return / Replace / Scrap"/>
    <s v="Customer"/>
  </r>
  <r>
    <x v="81"/>
    <s v="CAS6455651"/>
    <s v="Issue"/>
    <s v="Credit / Debit Request"/>
    <s v="Pricing Adjustment"/>
    <m/>
    <m/>
    <s v="Schlage Residential"/>
    <s v="Lock"/>
    <x v="2"/>
    <x v="1"/>
    <s v="Credit Internal Use Only/Do not send to Orgill for concealed shortage / Damage._x000a_Customer  8151935DMQ_x000a__x000a_See attached request."/>
    <x v="30"/>
    <s v="14259243 - SO03253770"/>
    <s v="33797504"/>
    <s v="8151935"/>
    <m/>
    <s v="Schlage Residential"/>
    <s v="Lock"/>
    <s v="F Knob/Lever"/>
    <s v="Olathe"/>
    <n v="4"/>
    <s v="0531033~Quote / Product Error|1040~Errore Offerta / Prodotto|3082~Oferta / error producto|1036~Erreur de devis / produit"/>
    <s v="0171033~Broken Package|1040~Collo Rotto|3082~Embalaje roto|1036~Emballage cassé"/>
    <m/>
    <s v="Sales"/>
    <m/>
    <s v="043156791637/ 939-7548"/>
    <m/>
    <m/>
    <m/>
    <n v="46056.041666666701"/>
    <m/>
    <m/>
    <s v="Credit Request"/>
    <s v="Active"/>
    <s v="Curt Moore"/>
    <s v="Curt Moore"/>
    <s v="Residential - Channel"/>
    <s v="Schlage Residential Mechanical"/>
    <x v="5"/>
    <x v="5"/>
    <s v=""/>
    <s v="2026 / 02"/>
    <s v="Credit / Debit Request"/>
    <s v="Customer Care"/>
  </r>
  <r>
    <x v="82"/>
    <s v="CAS6439009"/>
    <s v="Issue"/>
    <s v="Return / Replace / Scrap"/>
    <s v="Defective Product"/>
    <m/>
    <s v="Out of Box"/>
    <s v="Schlage Residential"/>
    <s v="Lock"/>
    <x v="1"/>
    <x v="0"/>
    <s v="NC RPL- missing screw cap_x000a__x000a_02-035 622  QTY 1_x000a__x000a_CLEAR LAKE_4749_x000a_Jared Devries_x000a_4749 S Shore Dr, Unit F_x000a_Clear Lake, IA 50428"/>
    <x v="25"/>
    <s v="14224935"/>
    <s v="7007064183"/>
    <s v="8099771"/>
    <m/>
    <s v="Schlage Residential"/>
    <s v="Lock"/>
    <s v="F Handleset"/>
    <s v="Ensenada"/>
    <n v="1"/>
    <s v="0311033~Functional Mechanical|1040~Funzionamento Meccanico|3082~Función mecánica|1036~Functional Mechanical"/>
    <s v="0161033~Broken / Bad Parts|1040~Parti rotte / difettose|3082~Partes rotas / malas|1036~Pièces cassées / mauvaises"/>
    <m/>
    <s v="Product"/>
    <m/>
    <s v="02-035 622"/>
    <s v="F60"/>
    <m/>
    <m/>
    <n v="46008.791666666701"/>
    <m/>
    <m/>
    <s v="Replace Only"/>
    <s v="Resolved"/>
    <s v="Lucresia James"/>
    <s v="Lucresia James"/>
    <s v="Residential - Channel"/>
    <s v="Schlage Residential Mechanical"/>
    <x v="0"/>
    <x v="0"/>
    <s v=""/>
    <s v="2026 / 02"/>
    <s v="Return / Replace / Scrap"/>
    <s v="Product"/>
  </r>
  <r>
    <x v="83"/>
    <s v="CAS6433982"/>
    <s v="Issue"/>
    <s v="Credit / Debit Request"/>
    <s v="Pricing Adjustment"/>
    <m/>
    <m/>
    <s v="Schlage Residential"/>
    <s v="Lock"/>
    <x v="1"/>
    <x v="0"/>
    <s v="SHORT SHIP OCQ0527472929/10 BOL DOCS RECEIVED BUT ACE DENIED REPAYMENT IN THE AMOUNT $1488.36_x000a_ ACE SHORT SHIP ON INV 8084696.  CREDIT AMOUNT $1488.36_x000a__x000a__x000a_DEDUCTION TAKEN ON DM# 490523 $1488.36."/>
    <x v="6"/>
    <s v="14215188"/>
    <s v="UV8H4"/>
    <s v="8084696"/>
    <m/>
    <s v="Schlage Residential"/>
    <s v="Lock"/>
    <s v="F Handleset"/>
    <s v="Ensenada"/>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s v="Customer"/>
    <m/>
    <m/>
    <m/>
    <m/>
    <m/>
    <n v="45979.791666666701"/>
    <m/>
    <m/>
    <s v="Credit Request"/>
    <s v="Resolved"/>
    <s v="Pamela Franklin"/>
    <s v="Pamela Franklin"/>
    <s v="Commercial"/>
    <s v="Schlage Residential Mechanical"/>
    <x v="1"/>
    <x v="7"/>
    <s v=""/>
    <s v="2026 / 02"/>
    <s v="Credit / Debit Request"/>
    <s v="Customer"/>
  </r>
  <r>
    <x v="84"/>
    <s v="CAS6433924"/>
    <s v="Issue"/>
    <s v="Credit / Debit Request"/>
    <s v="Pricing Adjustment"/>
    <m/>
    <m/>
    <s v="Schlage Residential"/>
    <s v="Lock"/>
    <x v="1"/>
    <x v="0"/>
    <s v="SHORT SHIP OCQ0525922352/33 BOL DOCS RECEIVED BUT ACE DENIED REPAYMENT IN THE AMOUNT $945.28_x000a_ ACE SHORT SHIP ON INV 8061581.  CREDIT AMOUNT $945.28_x000a__x000a__x000a_DEDUCTION TAKEN ON DM# 490266 $945.28."/>
    <x v="6"/>
    <s v="14198879"/>
    <s v="Z3JQU"/>
    <s v="8061581"/>
    <m/>
    <s v="Schlage Residential"/>
    <s v="Lock"/>
    <s v="F Handleset"/>
    <s v="Ensenada"/>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s v="Customer"/>
    <m/>
    <m/>
    <m/>
    <m/>
    <m/>
    <n v="45961.833333333299"/>
    <m/>
    <m/>
    <s v="Credit Request"/>
    <s v="Resolved"/>
    <s v="Pamela Franklin"/>
    <s v="Pamela Franklin"/>
    <s v="Residential - Channel"/>
    <s v="Schlage Residential Mechanical"/>
    <x v="1"/>
    <x v="7"/>
    <s v=""/>
    <s v="2026 / 02"/>
    <s v="Credit / Debit Request"/>
    <s v="Customer"/>
  </r>
  <r>
    <x v="85"/>
    <s v="CAS6433796"/>
    <s v="Issue"/>
    <s v="Credit / Debit Request"/>
    <s v="Pricing Adjustment"/>
    <m/>
    <m/>
    <s v="Schlage Residential"/>
    <s v="Lock"/>
    <x v="1"/>
    <x v="0"/>
    <s v="SHORT SHIP OCQ0525232863/11 BOL DOCS RECEIVED BUT ACE DENIED REPAYMENT IN THE AMOUNT $1048.80_x000a_ ACE SHORT SHIP ON INV 8054631.  CREDIT AMOUNT $1048.80_x000a__x000a__x000a_DEDUCTION TAKEN ON DM# 489961 $13911.74."/>
    <x v="6"/>
    <s v="14189846"/>
    <s v="TW7FU"/>
    <s v="8054631"/>
    <m/>
    <s v="Schlage Residential"/>
    <s v="Lock"/>
    <s v="F Handleset"/>
    <s v="Ensenada"/>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s v="Customer"/>
    <m/>
    <m/>
    <m/>
    <m/>
    <m/>
    <n v="45939.833333333299"/>
    <m/>
    <m/>
    <s v="Credit Request"/>
    <s v="Resolved"/>
    <s v="Pamela Franklin"/>
    <s v="Pamela Franklin"/>
    <s v="Residential - Channel"/>
    <s v="Schlage Residential Mechanical"/>
    <x v="1"/>
    <x v="7"/>
    <s v=""/>
    <s v="2026 / 02"/>
    <s v="Credit / Debit Request"/>
    <s v="Customer"/>
  </r>
  <r>
    <x v="86"/>
    <s v="CAS6433179"/>
    <s v="Issue"/>
    <s v="Return / Replace / Scrap"/>
    <s v="Defective Product"/>
    <m/>
    <s v="Reliability"/>
    <s v="Schlage Residential"/>
    <s v="Lock"/>
    <x v="1"/>
    <x v="0"/>
    <s v="WARRANTY REPLACE FOR IRVINE APARTMENT COMMUNITIES_x000a__x000a_QTY 40--F10.ACC.619_x000a_QTY 20--F170.ACC.619.RH_x000a__x000a_SHIP TO: _x000a_JOE BELMONTES (951-258-1491)_x000a__x000a_IRVINE CO-TOWN CENTER APARTMENT HOMES_x000a_146 BERKELEY AVE_x000a_IRVINE, CA 92612"/>
    <x v="34"/>
    <s v="MULTIPLE"/>
    <s v="MULTIPLE"/>
    <m/>
    <m/>
    <m/>
    <m/>
    <m/>
    <m/>
    <m/>
    <m/>
    <m/>
    <m/>
    <m/>
    <m/>
    <m/>
    <m/>
    <m/>
    <m/>
    <m/>
    <m/>
    <m/>
    <m/>
    <s v="Resolved"/>
    <s v="Jessica Cook"/>
    <s v="Jessica Cook"/>
    <s v="Residential - Channel"/>
    <s v="Schlage Residential Mechanical"/>
    <x v="8"/>
    <x v="9"/>
    <s v=""/>
    <s v="2026 / 02"/>
    <s v="Return / Replace / Scrap"/>
    <s v="Customer Care"/>
  </r>
  <r>
    <x v="87"/>
    <s v="CAS6432057"/>
    <s v="Issue"/>
    <s v="Return / Replace / Scrap"/>
    <s v="Incorrect/Missing Product"/>
    <m/>
    <m/>
    <s v="Schlage Residential"/>
    <s v="Lock"/>
    <x v="1"/>
    <x v="0"/>
    <s v="NC REPLACEMENT FOR PO SAM0111288_x000a_LINE 5-QTY 1--LOCK.F51A.BWE.622.COL..16-086.10-027.134.KA.DETAIL.C.48-180.2_x000a_KEYED TO SPECIFIC COMBO--55566_x000a_***********************_x000a_You request this order 14266240 and the production has an error in the line 5, your requested cylinder KA and they send you cylinder KD for a confusion._x000a__x000a_So, the person who will receive the order will be wrong._x000a__x000a_ Please confirm me if you need a replacement order, I add in Cc the RMA team to see how we proceed in this order."/>
    <x v="35"/>
    <s v="14266240"/>
    <s v="SAM0111288"/>
    <s v="8162384"/>
    <n v="5"/>
    <s v="Schlage Residential"/>
    <s v="Lock"/>
    <s v="F Handleset"/>
    <s v="Ensenada"/>
    <n v="1"/>
    <s v="0281033~Allegion Sent Incorrect Product / Part"/>
    <s v="9731033~Incorrect Part / Component|1036~Composant/pièce incorrect|1040~Componente errato"/>
    <m/>
    <s v="Product"/>
    <m/>
    <m/>
    <m/>
    <m/>
    <m/>
    <n v="46064.791666666701"/>
    <m/>
    <m/>
    <s v="Replace Only"/>
    <s v="Resolved"/>
    <s v="Jessica Cook"/>
    <s v="Jessica Cook"/>
    <s v="Residential - Channel"/>
    <s v="Schlage Residential Mechanical"/>
    <x v="7"/>
    <x v="22"/>
    <s v=""/>
    <s v="2026 / 02"/>
    <s v="Return / Replace / Scrap"/>
    <s v="Product"/>
  </r>
  <r>
    <x v="88"/>
    <s v="CAS6407181"/>
    <s v="Issue"/>
    <s v="Return / Replace / Scrap"/>
    <s v="Incorrect/Missing Product"/>
    <m/>
    <m/>
    <s v="Schlage Residential"/>
    <s v="Lock"/>
    <x v="2"/>
    <x v="0"/>
    <s v="We have not received below items, please issue a credit note._x000a_P036987 126028 F40.ACC.619.GRW..16-080.10-027.134 2"/>
    <x v="36"/>
    <s v="14240354"/>
    <s v="P036987"/>
    <s v="8122137"/>
    <n v="4"/>
    <s v="Schlage Residential"/>
    <s v="Lock"/>
    <s v="F Knob/Lever"/>
    <s v="Ensenada"/>
    <n v="2"/>
    <s v="0213082~Allegion no envió un producto/pieza|1040~(Alle) Spedito Articolo/Componente mancante|1036~Allegion a envoyé un produit ou une pièce manquante|1033~Allegion Sent Missing Product / Part"/>
    <s v="9741040~Prodotto Mancante|1033~Missing Product|1036~Produit manquant"/>
    <m/>
    <s v="Product"/>
    <m/>
    <s v="043156408009"/>
    <m/>
    <m/>
    <m/>
    <n v="46029.791666666701"/>
    <m/>
    <m/>
    <s v="Credit Request"/>
    <s v="Resolved"/>
    <s v="Venus Rivera"/>
    <s v="Venus Rivera"/>
    <s v="International"/>
    <s v="Schlage Residential Mechanical"/>
    <x v="9"/>
    <x v="11"/>
    <s v=""/>
    <s v="2026 / 02"/>
    <s v="Return / Replace / Scrap"/>
    <s v="Product"/>
  </r>
  <r>
    <x v="89"/>
    <s v="CAS6407130"/>
    <s v="Issue"/>
    <s v="Return / Replace / Scrap"/>
    <s v="Incorrect/Missing Product"/>
    <m/>
    <m/>
    <s v="Schlage Residential"/>
    <s v="Lock"/>
    <x v="2"/>
    <x v="0"/>
    <s v="We have not received below items, please issue a credit note._x000a_P036986 134611 F40.LAT.622.ADD..16-080.10-027.134 1"/>
    <x v="37"/>
    <s v="14239409"/>
    <s v="P036986"/>
    <m/>
    <n v="6"/>
    <s v="Schlage Residential"/>
    <s v="Lock"/>
    <s v="F Knob/Lever"/>
    <s v="Ensenada"/>
    <n v="1"/>
    <s v="0213082~Allegion no envió un producto/pieza|1040~(Alle) Spedito Articolo/Componente mancante|1036~Allegion a envoyé un produit ou une pièce manquante|1033~Allegion Sent Missing Product / Part"/>
    <s v="9741040~Prodotto Mancante|1033~Missing Product|1036~Produit manquant"/>
    <m/>
    <s v="Product"/>
    <m/>
    <s v="134611"/>
    <m/>
    <m/>
    <m/>
    <n v="46028.791666666701"/>
    <m/>
    <m/>
    <s v="Credit Request"/>
    <s v="Resolved"/>
    <s v="Venus Rivera"/>
    <s v="Venus Rivera"/>
    <s v="International"/>
    <s v="Schlage Residential Mechanical"/>
    <x v="9"/>
    <x v="11"/>
    <s v=""/>
    <s v="2026 / 02"/>
    <s v="Return / Replace / Scrap"/>
    <s v="Product"/>
  </r>
  <r>
    <x v="90"/>
    <s v="CAS6445406"/>
    <s v="Issue"/>
    <s v="Return / Replace / Scrap"/>
    <s v="Incorrect/Missing Product"/>
    <m/>
    <m/>
    <s v="Schlage Residential"/>
    <s v="Lock"/>
    <x v="2"/>
    <x v="0"/>
    <s v="NC RPL Keying Incorrect / Jim Schumacher / Schlage Res. / 3004231_x000a_2 F51A LAT 61916-211 10-063 Keyed to 98878_x000a_I purchased 4 Schlage locks to be keyed alike. I received 4 locks, 2 keyed alike, 2 not keyed alike so I have 3 different keys. _x000a_Key 2 are 98878 _x000a_Key  1 88935 and another 99864. I called Lowes and they said not their problem. Please advise 973 768 5000_x000a_Jim Schumacher_x000a_Ship to: _x000a_Jim Schumacher_x000a_9 Wedgewood Dr_x000a_ANNANDALE, NJ 08801"/>
    <x v="38"/>
    <s v="SO03275589"/>
    <s v="40180656"/>
    <s v="45706034"/>
    <n v="1"/>
    <s v="Schlage Residential"/>
    <s v="Lock"/>
    <s v="F Knob/Lever"/>
    <s v="Ensenada"/>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s v="Customer"/>
    <m/>
    <m/>
    <m/>
    <m/>
    <m/>
    <n v="46070.791666666701"/>
    <m/>
    <m/>
    <s v="Replace Only"/>
    <s v="Resolved"/>
    <s v="Curt Moore"/>
    <s v="Curt Moore"/>
    <s v="Residential - Channel"/>
    <s v="Schlage Residential Mechanical"/>
    <x v="6"/>
    <x v="6"/>
    <s v=""/>
    <s v="2026 / 02"/>
    <s v="Return / Replace / Scrap"/>
    <s v="Customer"/>
  </r>
  <r>
    <x v="91"/>
    <s v="CAS6444995"/>
    <s v="Issue"/>
    <s v="Return / Replace / Scrap"/>
    <s v="Shipping"/>
    <m/>
    <m/>
    <s v="Schlage Residential"/>
    <s v="Lock"/>
    <x v="3"/>
    <x v="0"/>
    <s v="NC RPL Lost 20 -B60622 / Schlage Res. / RIO GRANDE COMPANY / 3002296_x000a_Line #2 - 20 of the B60N 622 KA4 / 043156228904 / $14.18_x000a_UPS 1Z9W01V60317420365 delayed checking with UPS_x000a_Per UPS package is considered lost and am sending a NC RPL"/>
    <x v="39"/>
    <s v="14257055"/>
    <s v="487740-00"/>
    <s v="8148213"/>
    <m/>
    <s v="Schlage Residential"/>
    <s v="Lock"/>
    <s v="B"/>
    <s v="Ensenada"/>
    <n v="20"/>
    <s v="Lost in Transit/Wrong Address"/>
    <s v="1513082~Extraviado en tránsito - Transportista|1040~Smarrimento in transito - Vettore|1036~Perdu en transit - Transporteur|1033~Lost in Transit - Carrier"/>
    <m/>
    <s v="Carrier"/>
    <m/>
    <s v="043156228904"/>
    <m/>
    <m/>
    <m/>
    <n v="46050.791666666701"/>
    <m/>
    <m/>
    <s v="Replace Only"/>
    <s v="Resolved"/>
    <s v="Curt Moore"/>
    <s v="Curt Moore"/>
    <s v="Residential - Channel"/>
    <s v="Schlage Residential Mechanical"/>
    <x v="3"/>
    <x v="3"/>
    <s v=""/>
    <s v="2026 / 02"/>
    <s v="Return / Replace / Scrap"/>
    <s v="Product"/>
  </r>
  <r>
    <x v="92"/>
    <s v="CAS6444943"/>
    <s v="Issue"/>
    <s v="Credit / Debit Request"/>
    <s v="Pricing Adjustment"/>
    <m/>
    <m/>
    <s v="Schlage Residential"/>
    <s v="Lock"/>
    <x v="2"/>
    <x v="1"/>
    <s v="Credit Internal Use Only/Do not send to Orgill for concealed shortage / Damage._x000a_Customer  8153831DMQ_x000a__x000a_See attached request."/>
    <x v="30"/>
    <s v="14260001 - SO03255601"/>
    <s v="73797506"/>
    <s v="8153831"/>
    <m/>
    <s v="Schlage Residential"/>
    <s v="Lock"/>
    <s v="F Knob/Lever"/>
    <s v="Olathe"/>
    <n v="4"/>
    <s v="0531033~Quote / Product Error|1040~Errore Offerta / Prodotto|3082~Oferta / error producto|1036~Erreur de devis / produit"/>
    <s v="0171033~Broken Package|1040~Collo Rotto|3082~Embalaje roto|1036~Emballage cassé"/>
    <m/>
    <s v="Sales"/>
    <m/>
    <s v="043156487349 / 555-6576"/>
    <m/>
    <m/>
    <m/>
    <n v="46056.791666666701"/>
    <m/>
    <m/>
    <s v="Credit Request"/>
    <s v="Resolved"/>
    <s v="Curt Moore"/>
    <s v="Curt Moore"/>
    <s v="Residential - Channel"/>
    <s v="Schlage Residential Mechanical"/>
    <x v="5"/>
    <x v="5"/>
    <s v=""/>
    <s v="2026 / 02"/>
    <s v="Credit / Debit Request"/>
    <s v="Customer Care"/>
  </r>
  <r>
    <x v="93"/>
    <s v="CAS6444902"/>
    <s v="Issue"/>
    <s v="Credit / Debit Request"/>
    <s v="Pricing Adjustment"/>
    <m/>
    <m/>
    <s v="Schlage Residential"/>
    <s v="Lock"/>
    <x v="2"/>
    <x v="1"/>
    <s v="Credit Internal Use Only/Do not send to Orgill for concealed shortage / Damage._x000a_Customer  8153814DMQ_x000a__x000a_See attached request."/>
    <x v="30"/>
    <s v="14259242 - SO03253781"/>
    <s v="43797505"/>
    <s v="8153814"/>
    <n v="63"/>
    <s v="Schlage Residential"/>
    <s v="Lock"/>
    <s v="F Knob/Lever"/>
    <s v="Olathe"/>
    <n v="200"/>
    <s v="0531033~Quote / Product Error|1040~Errore Offerta / Prodotto|3082~Oferta / error producto|1036~Erreur de devis / produit"/>
    <s v="0171033~Broken Package|1040~Collo Rotto|3082~Embalaje roto|1036~Emballage cassé"/>
    <m/>
    <s v="Sales"/>
    <m/>
    <s v="043156343003 / 697-4083"/>
    <m/>
    <m/>
    <m/>
    <n v="46056.791666666701"/>
    <m/>
    <m/>
    <s v="Credit Request"/>
    <s v="Resolved"/>
    <s v="Curt Moore"/>
    <s v="Curt Moore"/>
    <s v="Residential - Channel"/>
    <s v="Schlage Residential Mechanical"/>
    <x v="5"/>
    <x v="5"/>
    <s v=""/>
    <s v="2026 / 02"/>
    <s v="Credit / Debit Request"/>
    <s v="Customer Care"/>
  </r>
  <r>
    <x v="93"/>
    <s v="CAS6444902"/>
    <s v="Issue"/>
    <s v="Credit / Debit Request"/>
    <s v="Pricing Adjustment"/>
    <m/>
    <m/>
    <s v="Schlage Residential"/>
    <s v="Lock"/>
    <x v="2"/>
    <x v="1"/>
    <s v="Credit Internal Use Only/Do not send to Orgill for concealed shortage / Damage._x000a_Customer  8153814DMQ_x000a__x000a_See attached request."/>
    <x v="30"/>
    <s v="14259242 - SO03253781"/>
    <s v="43797505"/>
    <s v="8153814"/>
    <n v="32"/>
    <s v="Schlage Residential"/>
    <s v="Lock"/>
    <s v="F Knob/Lever"/>
    <s v="Olathe"/>
    <n v="4"/>
    <s v="0531033~Quote / Product Error|1040~Errore Offerta / Prodotto|3082~Oferta / error producto|1036~Erreur de devis / produit"/>
    <s v="0171033~Broken Package|1040~Collo Rotto|3082~Embalaje roto|1036~Emballage cassé"/>
    <m/>
    <s v="Sales"/>
    <m/>
    <s v="043156961320 / 695-0414"/>
    <m/>
    <m/>
    <m/>
    <n v="46056.791666666701"/>
    <m/>
    <m/>
    <s v="Credit Request"/>
    <s v="Resolved"/>
    <s v="Curt Moore"/>
    <s v="Curt Moore"/>
    <s v="Residential - Channel"/>
    <s v="Schlage Residential Mechanical"/>
    <x v="5"/>
    <x v="5"/>
    <s v=""/>
    <s v="2026 / 02"/>
    <s v="Credit / Debit Request"/>
    <s v="Customer Care"/>
  </r>
  <r>
    <x v="93"/>
    <s v="CAS6444902"/>
    <s v="Issue"/>
    <s v="Credit / Debit Request"/>
    <s v="Pricing Adjustment"/>
    <m/>
    <m/>
    <s v="Schlage Residential"/>
    <s v="Lock"/>
    <x v="2"/>
    <x v="1"/>
    <s v="Credit Internal Use Only/Do not send to Orgill for concealed shortage / Damage._x000a_Customer  8153814DMQ_x000a__x000a_See attached request."/>
    <x v="30"/>
    <s v="14259242 - SO03253781"/>
    <s v="43797505"/>
    <s v="8153814"/>
    <n v="3"/>
    <s v="Schlage Residential"/>
    <s v="Lock"/>
    <s v="F Knob/Lever"/>
    <s v="Olathe"/>
    <n v="2"/>
    <s v="0531033~Quote / Product Error|1040~Errore Offerta / Prodotto|3082~Oferta / error producto|1036~Erreur de devis / produit"/>
    <s v="0171033~Broken Package|1040~Collo Rotto|3082~Embalaje roto|1036~Emballage cassé"/>
    <m/>
    <s v="Sales"/>
    <m/>
    <s v="043156457960 / 745-7054"/>
    <m/>
    <m/>
    <m/>
    <n v="46056.791666666701"/>
    <m/>
    <m/>
    <s v="Credit Request"/>
    <s v="Resolved"/>
    <s v="Curt Moore"/>
    <s v="Curt Moore"/>
    <s v="Residential - Channel"/>
    <s v="Schlage Residential Mechanical"/>
    <x v="5"/>
    <x v="5"/>
    <s v=""/>
    <s v="2026 / 02"/>
    <s v="Credit / Debit Request"/>
    <s v="Customer Care"/>
  </r>
  <r>
    <x v="94"/>
    <s v="CAS6444808"/>
    <s v="Issue"/>
    <s v="Credit / Debit Request"/>
    <s v="Pricing Adjustment"/>
    <m/>
    <m/>
    <s v="Schlage Residential"/>
    <s v="Lock"/>
    <x v="2"/>
    <x v="1"/>
    <s v="Credit Internal Use Only/Do not send to Orgill for concealed shortage / Damage._x000a_Customer  8151876DMQ_x000a__x000a_See attached request."/>
    <x v="30"/>
    <s v="14247546 - SO03235129"/>
    <s v="33786365"/>
    <s v="8151876"/>
    <n v="13"/>
    <s v="Schlage Residential"/>
    <s v="Lock"/>
    <s v="F Knob/Lever"/>
    <s v="Olathe"/>
    <n v="200"/>
    <s v="0531033~Quote / Product Error|1040~Errore Offerta / Prodotto|3082~Oferta / error producto|1036~Erreur de devis / produit"/>
    <s v="0171033~Broken Package|1040~Collo Rotto|3082~Embalaje roto|1036~Emballage cassé"/>
    <m/>
    <s v="Sales"/>
    <m/>
    <s v="043156921683 / 695-4630"/>
    <m/>
    <m/>
    <m/>
    <n v="46053.791666666701"/>
    <m/>
    <m/>
    <s v="Credit Request"/>
    <s v="Resolved"/>
    <s v="Curt Moore"/>
    <s v="Curt Moore"/>
    <s v="Residential - Channel"/>
    <s v="Schlage Residential Mechanical"/>
    <x v="5"/>
    <x v="5"/>
    <s v=""/>
    <s v="2026 / 02"/>
    <s v="Credit / Debit Request"/>
    <s v="Customer Care"/>
  </r>
  <r>
    <x v="95"/>
    <s v="CAS6444778"/>
    <s v="Issue"/>
    <s v="Credit / Debit Request"/>
    <s v="Pricing Adjustment"/>
    <m/>
    <m/>
    <s v="Schlage Residential"/>
    <s v="Lock"/>
    <x v="2"/>
    <x v="1"/>
    <s v="Credit Internal Use Only/Do not send to Orgill for concealed shortage / Damage._x000a_Customer  8149552DMQ_x000a__x000a_See attached request."/>
    <x v="30"/>
    <s v="14256323 - SO03249173"/>
    <s v="93794034"/>
    <s v="8149552"/>
    <n v="24"/>
    <s v="Schlage Residential"/>
    <s v="Lock"/>
    <s v="F Knob/Lever"/>
    <s v="Olathe"/>
    <n v="4"/>
    <s v="0531033~Quote / Product Error|1040~Errore Offerta / Prodotto|3082~Oferta / error producto|1036~Erreur de devis / produit"/>
    <s v="0171033~Broken Package|1040~Collo Rotto|3082~Embalaje roto|1036~Emballage cassé"/>
    <m/>
    <s v="Sales"/>
    <m/>
    <s v="043156555505 / 515-9876"/>
    <m/>
    <m/>
    <m/>
    <n v="46051.791666666701"/>
    <m/>
    <m/>
    <s v="Credit Request"/>
    <s v="Resolved"/>
    <s v="Curt Moore"/>
    <s v="Curt Moore"/>
    <s v="Residential - Channel"/>
    <s v="Schlage Residential Mechanical"/>
    <x v="5"/>
    <x v="5"/>
    <s v=""/>
    <s v="2026 / 02"/>
    <s v="Credit / Debit Request"/>
    <s v="Customer Care"/>
  </r>
  <r>
    <x v="96"/>
    <s v="CAS6428964"/>
    <s v="Issue"/>
    <s v="Return / Replace / Scrap"/>
    <s v="Shipping"/>
    <m/>
    <m/>
    <s v="Schlage Residential"/>
    <s v="Lock"/>
    <x v="1"/>
    <x v="0"/>
    <s v="LINE 2-QTY 8--LOCK.F10.ACC.619.16-080.10-027.134_x000a__x000a_DAMAGED IN TRANSIT, PO 42192362_x000a_---------------_x000a_PO 42192362_x000a__x000a_8 – F10ACC619_x000a__x000a_Can you send replacements?"/>
    <x v="40"/>
    <s v="14251265"/>
    <s v="42192362"/>
    <s v="8137876"/>
    <n v="2"/>
    <s v="Schlage Residential"/>
    <s v="Lock"/>
    <s v="F Handleset"/>
    <s v="Ensenada"/>
    <n v="8"/>
    <s v="0223082~Dañado en el Transporte|1040~Danneggiato Durante il Trasporto|1033~Damaged in Transit|1036~Endommagé pendant le transport"/>
    <s v="0471040~Danneggiato Durante il Trasporto|3082~Dañado en el transporte|1033~Damaged in Transit|1036~Endommagé pendant le transport"/>
    <m/>
    <s v="Carrier"/>
    <m/>
    <s v="043156793228"/>
    <m/>
    <m/>
    <m/>
    <n v="46044.791666666701"/>
    <m/>
    <m/>
    <s v="Replace Only"/>
    <s v="Resolved"/>
    <s v="Jessica Cook"/>
    <s v="Jessica Cook"/>
    <s v="Residential - Channel"/>
    <s v="Schlage Residential Mechanical"/>
    <x v="13"/>
    <x v="15"/>
    <s v=""/>
    <s v="2026 / 02"/>
    <s v="Return / Replace / Scrap"/>
    <s v="Product"/>
  </r>
  <r>
    <x v="97"/>
    <s v="CAS6418862"/>
    <s v="Issue"/>
    <s v="Credit / Debit Request"/>
    <s v="Pricing Adjustment"/>
    <m/>
    <m/>
    <s v="Schlage Residential"/>
    <s v="Lock"/>
    <x v="2"/>
    <x v="1"/>
    <s v="Denied Credit Internal Use Only/Do not send to Orgill for concealed shortage / Damage._x000a_Customer  8146503DMQ_x000a_Line #'s 1,2,3,4 &amp; 6 all shipped 1-28-26 ESTES 1642565879 and delivered 2-6-26._x000a_No POD is available yet._x000a__x000a_The rest of the order line #5 shipped 1-22-26 UPS and delivered 1-29-26 ._x000a_See attached request."/>
    <x v="30"/>
    <s v="14250557 - SO03239304"/>
    <s v="63789172"/>
    <s v="8146503"/>
    <n v="6"/>
    <s v="Schlage Residential"/>
    <s v="Lock"/>
    <s v="F Knob/Lever"/>
    <s v="Olathe"/>
    <n v="16"/>
    <s v="0531033~Quote / Product Error|1040~Errore Offerta / Prodotto|3082~Oferta / error producto|1036~Erreur de devis / produit"/>
    <s v="0171033~Broken Package|1040~Collo Rotto|3082~Embalaje roto|1036~Emballage cassé"/>
    <m/>
    <s v="Sales"/>
    <m/>
    <s v="043156180592 / 515-9843"/>
    <m/>
    <m/>
    <m/>
    <n v="46049.791666666701"/>
    <m/>
    <m/>
    <s v="Credit Request"/>
    <s v="Resolved"/>
    <s v="Curt Moore"/>
    <s v="Curt Moore"/>
    <s v="Residential - Channel"/>
    <s v="Schlage Residential Mechanical"/>
    <x v="5"/>
    <x v="5"/>
    <s v=""/>
    <s v="2026 / 02"/>
    <s v="Credit / Debit Request"/>
    <s v="Customer Care"/>
  </r>
  <r>
    <x v="97"/>
    <s v="CAS6418862"/>
    <s v="Issue"/>
    <s v="Credit / Debit Request"/>
    <s v="Pricing Adjustment"/>
    <m/>
    <m/>
    <s v="Schlage Residential"/>
    <s v="Lock"/>
    <x v="2"/>
    <x v="1"/>
    <s v="Denied Credit Internal Use Only/Do not send to Orgill for concealed shortage / Damage._x000a_Customer  8146503DMQ_x000a_Line #'s 1,2,3,4 &amp; 6 all shipped 1-28-26 ESTES 1642565879 and delivered 2-6-26._x000a_No POD is available yet._x000a__x000a_The rest of the order line #5 shipped 1-22-26 UPS and delivered 1-29-26 ._x000a_See attached request."/>
    <x v="30"/>
    <s v="14250557 - SO03239304"/>
    <s v="63789172"/>
    <s v="8146503"/>
    <n v="4"/>
    <s v="Schlage Residential"/>
    <s v="Lock"/>
    <s v="Keypad Lock"/>
    <s v="Olathe"/>
    <n v="2"/>
    <s v="0531033~Quote / Product Error|1040~Errore Offerta / Prodotto|3082~Oferta / error producto|1036~Erreur de devis / produit"/>
    <s v="0171033~Broken Package|1040~Collo Rotto|3082~Embalaje roto|1036~Emballage cassé"/>
    <m/>
    <s v="Sales"/>
    <m/>
    <s v="043156901060 / 288-7222"/>
    <m/>
    <m/>
    <m/>
    <n v="46049.791666666701"/>
    <m/>
    <m/>
    <s v="Credit Request"/>
    <s v="Resolved"/>
    <s v="Curt Moore"/>
    <s v="Curt Moore"/>
    <s v="Residential - Channel"/>
    <s v="Schlage Residential Mechanical"/>
    <x v="5"/>
    <x v="5"/>
    <s v=""/>
    <s v="2026 / 02"/>
    <s v="Credit / Debit Request"/>
    <s v="Customer Care"/>
  </r>
  <r>
    <x v="97"/>
    <s v="CAS6418862"/>
    <s v="Issue"/>
    <s v="Credit / Debit Request"/>
    <s v="Pricing Adjustment"/>
    <m/>
    <m/>
    <s v="Schlage Residential"/>
    <s v="Lock"/>
    <x v="2"/>
    <x v="1"/>
    <s v="Denied Credit Internal Use Only/Do not send to Orgill for concealed shortage / Damage._x000a_Customer  8146503DMQ_x000a_Line #'s 1,2,3,4 &amp; 6 all shipped 1-28-26 ESTES 1642565879 and delivered 2-6-26._x000a_No POD is available yet._x000a__x000a_The rest of the order line #5 shipped 1-22-26 UPS and delivered 1-29-26 ._x000a_See attached request."/>
    <x v="30"/>
    <s v="14250557 - SO03239304"/>
    <s v="63789172"/>
    <s v="8146503"/>
    <n v="3"/>
    <s v="Schlage Residential"/>
    <s v="Lock"/>
    <s v="Keypad Lock"/>
    <s v="Olathe"/>
    <n v="14"/>
    <s v="0531033~Quote / Product Error|1040~Errore Offerta / Prodotto|3082~Oferta / error producto|1036~Erreur de devis / produit"/>
    <s v="0171033~Broken Package|1040~Collo Rotto|3082~Embalaje roto|1036~Emballage cassé"/>
    <m/>
    <s v="Sales"/>
    <m/>
    <s v="043156901159 / 555-6527"/>
    <m/>
    <m/>
    <m/>
    <n v="46049.791666666701"/>
    <m/>
    <m/>
    <s v="Credit Request"/>
    <s v="Resolved"/>
    <s v="Curt Moore"/>
    <s v="Curt Moore"/>
    <s v="Residential - Channel"/>
    <s v="Schlage Residential Mechanical"/>
    <x v="5"/>
    <x v="5"/>
    <s v=""/>
    <s v="2026 / 02"/>
    <s v="Credit / Debit Request"/>
    <s v="Customer Care"/>
  </r>
  <r>
    <x v="97"/>
    <s v="CAS6418862"/>
    <s v="Issue"/>
    <s v="Credit / Debit Request"/>
    <s v="Pricing Adjustment"/>
    <m/>
    <m/>
    <s v="Schlage Residential"/>
    <s v="Lock"/>
    <x v="2"/>
    <x v="1"/>
    <s v="Denied Credit Internal Use Only/Do not send to Orgill for concealed shortage / Damage._x000a_Customer  8146503DMQ_x000a_Line #'s 1,2,3,4 &amp; 6 all shipped 1-28-26 ESTES 1642565879 and delivered 2-6-26._x000a_No POD is available yet._x000a__x000a_The rest of the order line #5 shipped 1-22-26 UPS and delivered 1-29-26 ._x000a_See attached request."/>
    <x v="30"/>
    <s v="14250557 - SO03239304"/>
    <s v="63789172"/>
    <s v="8146503"/>
    <n v="2"/>
    <s v="Schlage Residential"/>
    <s v="Lock"/>
    <s v="Keypad Lock"/>
    <s v="Olathe"/>
    <n v="8"/>
    <s v="0531033~Quote / Product Error|1040~Errore Offerta / Prodotto|3082~Oferta / error producto|1036~Erreur de devis / produit"/>
    <s v="0171033~Broken Package|1040~Collo Rotto|3082~Embalaje roto|1036~Emballage cassé"/>
    <m/>
    <s v="Sales"/>
    <m/>
    <s v="043156901357 / 491-2259"/>
    <m/>
    <m/>
    <m/>
    <n v="46049.791666666701"/>
    <m/>
    <m/>
    <s v="Credit Request"/>
    <s v="Resolved"/>
    <s v="Curt Moore"/>
    <s v="Curt Moore"/>
    <s v="Residential - Channel"/>
    <s v="Schlage Residential Mechanical"/>
    <x v="5"/>
    <x v="5"/>
    <s v=""/>
    <s v="2026 / 02"/>
    <s v="Credit / Debit Request"/>
    <s v="Customer Care"/>
  </r>
  <r>
    <x v="97"/>
    <s v="CAS6418862"/>
    <s v="Issue"/>
    <s v="Credit / Debit Request"/>
    <s v="Pricing Adjustment"/>
    <m/>
    <m/>
    <s v="Schlage Residential"/>
    <s v="Lock"/>
    <x v="2"/>
    <x v="1"/>
    <s v="Denied Credit Internal Use Only/Do not send to Orgill for concealed shortage / Damage._x000a_Customer  8146503DMQ_x000a_Line #'s 1,2,3,4 &amp; 6 all shipped 1-28-26 ESTES 1642565879 and delivered 2-6-26._x000a_No POD is available yet._x000a__x000a_The rest of the order line #5 shipped 1-22-26 UPS and delivered 1-29-26 ._x000a_See attached request."/>
    <x v="30"/>
    <s v="14250557 - SO03239304"/>
    <s v="63789172"/>
    <s v="8146503"/>
    <n v="1"/>
    <s v="Schlage Residential"/>
    <s v="Lock"/>
    <s v="Keypad Lock"/>
    <s v="Olathe"/>
    <n v="6"/>
    <s v="0531033~Quote / Product Error|1040~Errore Offerta / Prodotto|3082~Oferta / error producto|1036~Erreur de devis / produit"/>
    <s v="0171033~Broken Package|1040~Collo Rotto|3082~Embalaje roto|1036~Emballage cassé"/>
    <m/>
    <s v="Sales"/>
    <m/>
    <s v="043156901364 / 706-4801"/>
    <m/>
    <m/>
    <m/>
    <n v="46049.791666666701"/>
    <m/>
    <m/>
    <s v="Credit Request"/>
    <s v="Resolved"/>
    <s v="Curt Moore"/>
    <s v="Curt Moore"/>
    <s v="Residential - Channel"/>
    <s v="Schlage Residential Mechanical"/>
    <x v="5"/>
    <x v="5"/>
    <s v=""/>
    <s v="2026 / 02"/>
    <s v="Credit / Debit Request"/>
    <s v="Customer Care"/>
  </r>
  <r>
    <x v="98"/>
    <s v="CAS6418858"/>
    <s v="Issue"/>
    <s v="Credit / Debit Request"/>
    <s v="Pricing Adjustment"/>
    <m/>
    <m/>
    <s v="Schlage Residential"/>
    <s v="Lock"/>
    <x v="2"/>
    <x v="1"/>
    <s v="Credit Internal Use Only/Do not send to Orgill for concealed shortage / Damage._x000a_Customer  8140292DMQ_x000a__x000a_See attached request."/>
    <x v="30"/>
    <s v="14250554 - SO03239314"/>
    <s v="63789173"/>
    <s v="8140292"/>
    <n v="6"/>
    <s v="Schlage Residential"/>
    <s v="Lock"/>
    <s v="F Knob/Lever"/>
    <s v="Olathe"/>
    <n v="4"/>
    <s v="0531033~Quote / Product Error|1040~Errore Offerta / Prodotto|3082~Oferta / error producto|1036~Erreur de devis / produit"/>
    <s v="0171033~Broken Package|1040~Collo Rotto|3082~Embalaje roto|1036~Emballage cassé"/>
    <m/>
    <s v="Sales"/>
    <m/>
    <s v="043156994588 / 965-4443"/>
    <m/>
    <m/>
    <m/>
    <n v="46043.791666666701"/>
    <m/>
    <m/>
    <s v="Credit Request"/>
    <s v="Resolved"/>
    <s v="Curt Moore"/>
    <s v="Curt Moore"/>
    <s v="Residential - Channel"/>
    <s v="Schlage Residential Mechanical"/>
    <x v="5"/>
    <x v="5"/>
    <s v=""/>
    <s v="2026 / 02"/>
    <s v="Credit / Debit Request"/>
    <s v="Customer Care"/>
  </r>
  <r>
    <x v="99"/>
    <s v="CAS6408875"/>
    <s v="Issue"/>
    <s v="Return / Replace / Scrap"/>
    <s v="Defective Product"/>
    <m/>
    <s v="Out of Box"/>
    <s v="Schlage Residential"/>
    <s v="Lock"/>
    <x v="2"/>
    <x v="0"/>
    <s v="NC RPL - DEFECTIVE_x000a_SEE CASE PRODUCTS &amp; ATTACHMENT _x000a__x000a_Please process the attached warranty replacement request for Irvine Company._x000a__x000a_Edgar Palacios_x000a_100 Family Tree_x000a_Irvine, CA  92618"/>
    <x v="41"/>
    <m/>
    <s v="CS020326"/>
    <m/>
    <m/>
    <s v="Schlage Residential"/>
    <s v="Lock"/>
    <s v="F Knob/Lever"/>
    <s v="Ensenada"/>
    <n v="50"/>
    <s v="0311033~Functional Mechanical|1040~Funzionamento Meccanico|3082~Función mecánica|1036~Functional Mechanical"/>
    <s v="0201033~Cannot lock / Unlock|1040~Impossibile bloccare / sbloccare|3082~No se puede bloquear/desbloquear|1036~Impossible de verrouiller / Déverrouiller"/>
    <m/>
    <s v="Product"/>
    <m/>
    <m/>
    <s v="F40"/>
    <m/>
    <m/>
    <n v="45930.833333333299"/>
    <m/>
    <m/>
    <s v="Replace Only"/>
    <s v="Resolved"/>
    <s v="Katie Ramsey"/>
    <s v="Katie Ramsey"/>
    <s v="Residential - Channel"/>
    <s v="Schlage Residential Mechanical"/>
    <x v="0"/>
    <x v="14"/>
    <s v=""/>
    <s v="2026 / 02"/>
    <s v="Return / Replace / Scrap"/>
    <s v="Product"/>
  </r>
  <r>
    <x v="99"/>
    <s v="CAS6408875"/>
    <s v="Issue"/>
    <s v="Return / Replace / Scrap"/>
    <s v="Defective Product"/>
    <m/>
    <s v="Out of Box"/>
    <s v="Schlage Residential"/>
    <s v="Lock"/>
    <x v="2"/>
    <x v="0"/>
    <s v="NC RPL - DEFECTIVE_x000a_SEE CASE PRODUCTS &amp; ATTACHMENT _x000a__x000a_Please process the attached warranty replacement request for Irvine Company._x000a__x000a_Edgar Palacios_x000a_100 Family Tree_x000a_Irvine, CA  92618"/>
    <x v="41"/>
    <m/>
    <s v="CS020326"/>
    <m/>
    <m/>
    <s v="Schlage Residential"/>
    <s v="Lock"/>
    <s v="F Knob/Lever"/>
    <s v="Ensenada"/>
    <n v="50"/>
    <s v="0071033~Appearance / Finish|1040~Estetica / Finitura|3082~Estética / Acabado|1036~Apparence/Finition"/>
    <s v="4161033~Worn|1036~Usé|1040~Logoro|3082~Pasado|1055~Yıpranmış"/>
    <m/>
    <s v="Product"/>
    <m/>
    <m/>
    <s v="F10"/>
    <m/>
    <m/>
    <n v="45930.833333333299"/>
    <m/>
    <m/>
    <s v="Replace Only"/>
    <s v="Resolved"/>
    <s v="Katie Ramsey"/>
    <s v="Katie Ramsey"/>
    <s v="Residential - Channel"/>
    <s v="Schlage Residential Mechanical"/>
    <x v="2"/>
    <x v="23"/>
    <s v=""/>
    <s v="2026 / 02"/>
    <s v="Return / Replace / Scrap"/>
    <s v="Product"/>
  </r>
  <r>
    <x v="100"/>
    <s v="CAS6445176"/>
    <s v="Issue"/>
    <s v="Credit / Debit Request"/>
    <s v="Pricing Adjustment"/>
    <m/>
    <m/>
    <s v="Schlage Residential"/>
    <s v="Lock"/>
    <x v="2"/>
    <x v="0"/>
    <s v="Credit- Quote did not apply correctly_x000a__x000a_BE489WBC.CEN.622.12-351.10-116    QTY 6   282.80-181.44= 101.36 ea_x000a_B60.N.608.12-321.10-116.134.KA4.   QTY 4  31.12-14.18= 16.94 ea_x000a_F10.LAT.622.COL..16-080.10-027.134   QTY 24   34.12-17.67= 16.45 ea_x000a_F170.LAT.622.134   QTY 10     14.25-5.29= 8.96 ea_x000a__x000a__x000a_22239 N 17TH PL_x000a_PHOENIX, AZ, 85024"/>
    <x v="1"/>
    <s v="14269637"/>
    <s v="82702"/>
    <s v="8165421"/>
    <m/>
    <s v="Schlage Residential"/>
    <s v="Lock"/>
    <s v="F Knob/Lever"/>
    <s v="Ensenada"/>
    <n v="10"/>
    <s v="0531033~Quote / Product Error|1040~Errore Offerta / Prodotto|3082~Oferta / error producto|1036~Erreur de devis / produit"/>
    <s v="2751033~Quote Error|1036~Erreur de devis|1040~Errore di citazione|3082~Error de cita|1055~Alıntı Hatası"/>
    <m/>
    <s v="Sales"/>
    <m/>
    <s v="F170.LAT.622.134"/>
    <m/>
    <m/>
    <m/>
    <n v="46069.791666666701"/>
    <m/>
    <m/>
    <s v="Credit Request"/>
    <s v="Resolved"/>
    <s v="Lucresia James"/>
    <s v="Lucresia James"/>
    <s v="Residential - Channel"/>
    <s v="Schlage Residential Mechanical"/>
    <x v="5"/>
    <x v="17"/>
    <s v=""/>
    <s v="2026 / 02"/>
    <s v="Credit / Debit Request"/>
    <s v="Customer Care"/>
  </r>
  <r>
    <x v="100"/>
    <s v="CAS6445176"/>
    <s v="Issue"/>
    <s v="Credit / Debit Request"/>
    <s v="Pricing Adjustment"/>
    <m/>
    <m/>
    <s v="Schlage Residential"/>
    <s v="Lock"/>
    <x v="2"/>
    <x v="0"/>
    <s v="Credit- Quote did not apply correctly_x000a__x000a_BE489WBC.CEN.622.12-351.10-116    QTY 6   282.80-181.44= 101.36 ea_x000a_B60.N.608.12-321.10-116.134.KA4.   QTY 4  31.12-14.18= 16.94 ea_x000a_F10.LAT.622.COL..16-080.10-027.134   QTY 24   34.12-17.67= 16.45 ea_x000a_F170.LAT.622.134   QTY 10     14.25-5.29= 8.96 ea_x000a__x000a__x000a_22239 N 17TH PL_x000a_PHOENIX, AZ, 85024"/>
    <x v="1"/>
    <s v="14269637"/>
    <s v="82702"/>
    <s v="8165421"/>
    <m/>
    <s v="Schlage Residential"/>
    <s v="Lock"/>
    <s v="F Knob/Lever"/>
    <s v="Ensenada"/>
    <n v="24"/>
    <s v="0531033~Quote / Product Error|1040~Errore Offerta / Prodotto|3082~Oferta / error producto|1036~Erreur de devis / produit"/>
    <s v="2751033~Quote Error|1036~Erreur de devis|1040~Errore di citazione|3082~Error de cita|1055~Alıntı Hatası"/>
    <m/>
    <s v="Sales"/>
    <m/>
    <s v="F10.LAT.622.COL"/>
    <m/>
    <m/>
    <m/>
    <n v="46069.791666666701"/>
    <m/>
    <m/>
    <s v="Credit Request"/>
    <s v="Resolved"/>
    <s v="Lucresia James"/>
    <s v="Lucresia James"/>
    <s v="Residential - Channel"/>
    <s v="Schlage Residential Mechanical"/>
    <x v="5"/>
    <x v="17"/>
    <s v=""/>
    <s v="2026 / 02"/>
    <s v="Credit / Debit Request"/>
    <s v="Customer Care"/>
  </r>
  <r>
    <x v="100"/>
    <s v="CAS6445176"/>
    <s v="Issue"/>
    <s v="Credit / Debit Request"/>
    <s v="Pricing Adjustment"/>
    <m/>
    <m/>
    <s v="Schlage Residential"/>
    <s v="Lock"/>
    <x v="2"/>
    <x v="0"/>
    <s v="Credit- Quote did not apply correctly_x000a__x000a_BE489WBC.CEN.622.12-351.10-116    QTY 6   282.80-181.44= 101.36 ea_x000a_B60.N.608.12-321.10-116.134.KA4.   QTY 4  31.12-14.18= 16.94 ea_x000a_F10.LAT.622.COL..16-080.10-027.134   QTY 24   34.12-17.67= 16.45 ea_x000a_F170.LAT.622.134   QTY 10     14.25-5.29= 8.96 ea_x000a__x000a__x000a_22239 N 17TH PL_x000a_PHOENIX, AZ, 85024"/>
    <x v="1"/>
    <s v="14269637"/>
    <s v="82702"/>
    <s v="8165421"/>
    <m/>
    <s v="Schlage Residential"/>
    <s v="Lock"/>
    <s v="F Knob/Lever"/>
    <s v="Ensenada"/>
    <n v="4"/>
    <s v="0531033~Quote / Product Error|1040~Errore Offerta / Prodotto|3082~Oferta / error producto|1036~Erreur de devis / produit"/>
    <s v="2751033~Quote Error|1036~Erreur de devis|1040~Errore di citazione|3082~Error de cita|1055~Alıntı Hatası"/>
    <m/>
    <s v="Sales"/>
    <m/>
    <s v="B60.N.608.12-321.10-116.134"/>
    <m/>
    <m/>
    <m/>
    <n v="46069.791666666701"/>
    <m/>
    <m/>
    <s v="Credit Request"/>
    <s v="Resolved"/>
    <s v="Lucresia James"/>
    <s v="Lucresia James"/>
    <s v="Residential - Channel"/>
    <s v="Schlage Residential Mechanical"/>
    <x v="5"/>
    <x v="17"/>
    <s v=""/>
    <s v="2026 / 02"/>
    <s v="Credit / Debit Request"/>
    <s v="Customer Care"/>
  </r>
  <r>
    <x v="100"/>
    <s v="CAS6445176"/>
    <s v="Issue"/>
    <s v="Credit / Debit Request"/>
    <s v="Pricing Adjustment"/>
    <m/>
    <m/>
    <s v="Schlage Residential"/>
    <s v="Lock"/>
    <x v="2"/>
    <x v="0"/>
    <s v="Credit- Quote did not apply correctly_x000a__x000a_BE489WBC.CEN.622.12-351.10-116    QTY 6   282.80-181.44= 101.36 ea_x000a_B60.N.608.12-321.10-116.134.KA4.   QTY 4  31.12-14.18= 16.94 ea_x000a_F10.LAT.622.COL..16-080.10-027.134   QTY 24   34.12-17.67= 16.45 ea_x000a_F170.LAT.622.134   QTY 10     14.25-5.29= 8.96 ea_x000a__x000a__x000a_22239 N 17TH PL_x000a_PHOENIX, AZ, 85024"/>
    <x v="1"/>
    <s v="14269637"/>
    <s v="82702"/>
    <s v="8165421"/>
    <m/>
    <s v="Schlage Residential"/>
    <s v="Lock"/>
    <s v="F Knob/Lever"/>
    <s v="Ensenada"/>
    <n v="6"/>
    <s v="0531033~Quote / Product Error|1040~Errore Offerta / Prodotto|3082~Oferta / error producto|1036~Erreur de devis / produit"/>
    <s v="2751033~Quote Error|1036~Erreur de devis|1040~Errore di citazione|3082~Error de cita|1055~Alıntı Hatası"/>
    <m/>
    <s v="Sales"/>
    <m/>
    <s v="BE489WBC.CEN.622.12-351.10-116"/>
    <m/>
    <m/>
    <m/>
    <n v="46069.791666666701"/>
    <m/>
    <m/>
    <s v="Credit Request"/>
    <s v="Resolved"/>
    <s v="Lucresia James"/>
    <s v="Lucresia James"/>
    <s v="Residential - Channel"/>
    <s v="Schlage Residential Mechanical"/>
    <x v="5"/>
    <x v="17"/>
    <s v=""/>
    <s v="2026 / 02"/>
    <s v="Credit / Debit Request"/>
    <s v="Customer Care"/>
  </r>
  <r>
    <x v="101"/>
    <s v="CAS6407905"/>
    <s v="Issue"/>
    <s v="Return / Replace / Scrap"/>
    <s v="Incorrect/Missing Product"/>
    <m/>
    <m/>
    <s v="Schlage Residential"/>
    <s v="Lock"/>
    <x v="2"/>
    <x v="0"/>
    <s v="CREATING CM TO RECEIVE INVOICE 467649 ONLY"/>
    <x v="42"/>
    <s v="1865940"/>
    <s v="12KG8BZT"/>
    <s v="467649"/>
    <m/>
    <m/>
    <m/>
    <m/>
    <m/>
    <m/>
    <m/>
    <m/>
    <m/>
    <m/>
    <m/>
    <m/>
    <m/>
    <m/>
    <m/>
    <m/>
    <m/>
    <m/>
    <m/>
    <s v="Resolved"/>
    <s v="Lyle Peacock"/>
    <s v="Lyle Peacock"/>
    <s v="Commercial"/>
    <s v="Schlage Residential Mechanical"/>
    <x v="8"/>
    <x v="9"/>
    <s v=""/>
    <s v="2026 / 02"/>
    <s v="Return / Replace / Scrap"/>
    <s v="Customer Care"/>
  </r>
  <r>
    <x v="102"/>
    <s v="CAS6448254"/>
    <s v="Issue"/>
    <s v="Return / Replace / Scrap"/>
    <s v="Defective Product"/>
    <m/>
    <s v="Reliability"/>
    <s v="Schlage Residential"/>
    <s v="Lock"/>
    <x v="2"/>
    <x v="0"/>
    <s v="SIF RMA for Defective locks / Schlage Res. / Schilling Brothers / 3015641_x000a_Line # 12 - 2 of the F51A PLY 622 KA4 / 043156420735 / $22.40 _x000a__x000a_Morning,_x000a_We received (2) F51APLY622 from PO #1000362124 that are damaged. The knob is continuing to come off when you pull on it. The screws stay in place but the knob comes off.  _x000a_Can you please send us an RMA or give us approval to field destroy?_x000a_Thank you,"/>
    <x v="43"/>
    <s v="14252508"/>
    <s v="1000362124"/>
    <s v="8144592"/>
    <n v="12"/>
    <s v="Schlage Residential"/>
    <s v="Lock"/>
    <s v="F Knob/Lever"/>
    <s v="Ensenada"/>
    <n v="2"/>
    <s v="0311033~Functional Mechanical|1040~Funzionamento Meccanico|3082~Función mecánica|1036~Functional Mechanical"/>
    <s v="0161033~Broken / Bad Parts|1040~Parti rotte / difettose|3082~Partes rotas / malas|1036~Pièces cassées / mauvaises"/>
    <m/>
    <s v="Product"/>
    <m/>
    <s v="043156420735"/>
    <s v="F51"/>
    <m/>
    <m/>
    <n v="46048.791666666701"/>
    <m/>
    <m/>
    <s v="Return Only"/>
    <s v="Resolved"/>
    <s v="Curt Moore"/>
    <s v="Curt Moore"/>
    <s v="Residential - Channel"/>
    <s v="Schlage Residential Mechanical"/>
    <x v="0"/>
    <x v="0"/>
    <s v=""/>
    <s v="2026 / 02"/>
    <s v="Return / Replace / Scrap"/>
    <s v="Product"/>
  </r>
  <r>
    <x v="103"/>
    <s v="CAS6448138"/>
    <s v="Issue"/>
    <s v="Credit / Debit Request"/>
    <s v="Pricing Adjustment"/>
    <m/>
    <m/>
    <s v="Schlage Residential"/>
    <s v="Lock"/>
    <x v="1"/>
    <x v="0"/>
    <s v="Credit due to wrong Price book Order#14268414 / LMC - ABS / 3019446_x000a_Quote on order 1431973 should have been on PB 13_x000a_This is a COOP so must issue credit not short pay_x000a__x000a_See Invoice, quote, and worksheet attached."/>
    <x v="18"/>
    <s v="14268414"/>
    <s v="670742"/>
    <s v="8165167"/>
    <n v="2"/>
    <s v="Schlage Residential"/>
    <s v="Lock"/>
    <s v="F Handleset"/>
    <s v="Ensenada"/>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s v="IT"/>
    <m/>
    <m/>
    <m/>
    <m/>
    <m/>
    <n v="46068.791666666701"/>
    <m/>
    <m/>
    <s v="Credit Request"/>
    <s v="Resolved"/>
    <s v="Curt Moore"/>
    <s v="Curt Moore"/>
    <s v="Residential - Channel"/>
    <s v="Schlage Residential Mechanical"/>
    <x v="16"/>
    <x v="24"/>
    <s v=""/>
    <s v="2026 / 02"/>
    <s v="Credit / Debit Request"/>
    <s v="Customer Care"/>
  </r>
  <r>
    <x v="104"/>
    <s v="CAS6423549"/>
    <s v="Issue"/>
    <s v="Return / Replace / Scrap"/>
    <s v="Defective Product"/>
    <m/>
    <s v="Reliability"/>
    <s v="Schlage Residential"/>
    <s v="Lock"/>
    <x v="1"/>
    <x v="1"/>
    <s v="Do you need a replacement for a component or the entire device?: Device_x000a_Is there anything else we should know about this return?: Please send a warranty replacement for the F51APLY619. See attached picture._x000a_Selected primary Product Type: Mechanical Locks_x000a_Do you also need to update the Ship To Address on your order?: No_x000a_The original ship-to address is saved on the shipping tab._x000a_One or more files were provided by the customer and saved in the timeline._x000a_Email: doreen.ackerson@weselldoors.com_x000a_Phone Number: 2182873100_x000a_Preferred Contact Method: Email_x000a_"/>
    <x v="44"/>
    <s v="13945962"/>
    <s v="193610"/>
    <s v="7651265"/>
    <m/>
    <m/>
    <m/>
    <m/>
    <m/>
    <n v="1"/>
    <m/>
    <m/>
    <m/>
    <m/>
    <m/>
    <s v="FKL-SLLK*9504284"/>
    <m/>
    <m/>
    <m/>
    <n v="45575.833333333299"/>
    <m/>
    <m/>
    <m/>
    <s v="Active"/>
    <s v="Portal Cases"/>
    <s v="Bionica Brown"/>
    <s v="Residential - Channel"/>
    <s v="Schlage Residential Mechanical"/>
    <x v="8"/>
    <x v="9"/>
    <s v=""/>
    <s v="2026 / 02"/>
    <s v="Return / Replace / Scrap"/>
    <s v="Customer Care"/>
  </r>
  <r>
    <x v="105"/>
    <s v="CAS6409167"/>
    <s v="Issue"/>
    <s v="Return / Replace / Scrap"/>
    <s v="Incorrect/Missing Product"/>
    <m/>
    <m/>
    <s v="Schlage Residential"/>
    <s v="Lock"/>
    <x v="1"/>
    <x v="0"/>
    <s v="SHORTAGE FROM PO J533-238_x000a_NC REPLACE--_x000a__x000a_LINE 107-QTY 4--LOCK.F58.PLY.622.134.KD.C.48-180.2_x000a_LINE 124-QTY 16--LOCK.F51A.LAT.622.CEN..16-211.10-063.134.KA4.C.48-180.2_x000a__x000a_**SEE ATTACHED SPREADSHEET WITH INFORMATION FROM FERGUSON**"/>
    <x v="45"/>
    <s v="SO03229436"/>
    <s v="J533-238"/>
    <s v="45671605"/>
    <n v="124"/>
    <s v="Schlage Residential"/>
    <s v="Lock"/>
    <s v="F Handleset"/>
    <s v="Ensenada"/>
    <n v="16"/>
    <s v="0213082~Allegion no envió un producto/pieza|1040~(Alle) Spedito Articolo/Componente mancante|1036~Allegion a envoyé un produit ou une pièce manquante|1033~Allegion Sent Missing Product / Part"/>
    <s v="9741040~Prodotto Mancante|1033~Missing Product|1036~Produit manquant"/>
    <m/>
    <s v="Product"/>
    <m/>
    <s v="043156534012"/>
    <m/>
    <m/>
    <m/>
    <n v="46043.791666666701"/>
    <m/>
    <m/>
    <s v="Replace Only"/>
    <s v="Resolved"/>
    <s v="Jessica Cook"/>
    <s v="Jessica Cook"/>
    <s v="Residential - Channel"/>
    <s v="Schlage Residential Mechanical"/>
    <x v="9"/>
    <x v="11"/>
    <s v=""/>
    <s v="2026 / 02"/>
    <s v="Return / Replace / Scrap"/>
    <s v="Product"/>
  </r>
  <r>
    <x v="105"/>
    <s v="CAS6409167"/>
    <s v="Issue"/>
    <s v="Return / Replace / Scrap"/>
    <s v="Incorrect/Missing Product"/>
    <m/>
    <m/>
    <s v="Schlage Residential"/>
    <s v="Lock"/>
    <x v="1"/>
    <x v="0"/>
    <s v="SHORTAGE FROM PO J533-238_x000a_NC REPLACE--_x000a__x000a_LINE 107-QTY 4--LOCK.F58.PLY.622.134.KD.C.48-180.2_x000a_LINE 124-QTY 16--LOCK.F51A.LAT.622.CEN..16-211.10-063.134.KA4.C.48-180.2_x000a__x000a_**SEE ATTACHED SPREADSHEET WITH INFORMATION FROM FERGUSON**"/>
    <x v="45"/>
    <s v="SO03229436"/>
    <s v="J533-238"/>
    <s v="45671605"/>
    <n v="107"/>
    <s v="Schlage Residential"/>
    <s v="Lock"/>
    <s v="F Handleset"/>
    <s v="Ensenada"/>
    <n v="4"/>
    <s v="0213082~Allegion no envió un producto/pieza|1040~(Alle) Spedito Articolo/Componente mancante|1036~Allegion a envoyé un produit ou une pièce manquante|1033~Allegion Sent Missing Product / Part"/>
    <s v="9741040~Prodotto Mancante|1033~Missing Product|1036~Produit manquant"/>
    <m/>
    <s v="Product"/>
    <m/>
    <s v="043156181407"/>
    <m/>
    <m/>
    <m/>
    <n v="46043.791666666701"/>
    <m/>
    <m/>
    <s v="Replace Only"/>
    <s v="Resolved"/>
    <s v="Jessica Cook"/>
    <s v="Jessica Cook"/>
    <s v="Residential - Channel"/>
    <s v="Schlage Residential Mechanical"/>
    <x v="9"/>
    <x v="11"/>
    <s v=""/>
    <s v="2026 / 02"/>
    <s v="Return / Replace / Scrap"/>
    <s v="Product"/>
  </r>
  <r>
    <x v="106"/>
    <s v="CAS6420089"/>
    <s v="Issue"/>
    <s v="Return / Replace / Scrap"/>
    <s v="Quantity"/>
    <m/>
    <m/>
    <s v="Schlage Residential"/>
    <s v="Lock"/>
    <x v="1"/>
    <x v="1"/>
    <s v="CREDIT FOR CONCEALED SHORTAGE_x000a__x000a_CREDIT OPEN BALANCE $532.90_x000a__x000a_PRODUCT AUTHORITY SHIPMENT_x000a__x000a_CARRIER : ABF"/>
    <x v="9"/>
    <s v="14219179"/>
    <s v="1079698602"/>
    <s v="808938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6.791666666701"/>
    <m/>
    <m/>
    <s v="Credit Request"/>
    <s v="Resolved"/>
    <s v="Vicki Y Pleak"/>
    <s v="Vicki Y Pleak"/>
    <s v="Commercial"/>
    <s v="Schlage Residential Mechanical"/>
    <x v="4"/>
    <x v="10"/>
    <s v=""/>
    <s v="2026 / 02"/>
    <s v="Return / Replace / Scrap"/>
    <s v="Product"/>
  </r>
  <r>
    <x v="107"/>
    <s v="CAS6420061"/>
    <s v="Issue"/>
    <s v="Return / Replace / Scrap"/>
    <s v="Quantity"/>
    <m/>
    <m/>
    <s v="Schlage Residential"/>
    <s v="Lock"/>
    <x v="1"/>
    <x v="1"/>
    <s v="CREDIT FOR CONCEALED SHORTAGE_x000a__x000a_CREDIT OPEN BALANCE $629.55_x000a__x000a_PRODUCT AUTHORITY SHIPMENT_x000a__x000a_CARRIER : ABF"/>
    <x v="9"/>
    <s v="14218791"/>
    <s v="1079698613"/>
    <s v="8089386"/>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6.791666666701"/>
    <m/>
    <m/>
    <s v="Credit Request"/>
    <s v="Resolved"/>
    <s v="Vicki Y Pleak"/>
    <s v="Vicki Y Pleak"/>
    <s v="Commercial"/>
    <s v="Schlage Residential Mechanical"/>
    <x v="4"/>
    <x v="10"/>
    <s v=""/>
    <s v="2026 / 02"/>
    <s v="Return / Replace / Scrap"/>
    <s v="Product"/>
  </r>
  <r>
    <x v="108"/>
    <s v="CAS6420037"/>
    <s v="Issue"/>
    <s v="Return / Replace / Scrap"/>
    <s v="Quantity"/>
    <m/>
    <m/>
    <s v="Schlage Residential"/>
    <s v="Lock"/>
    <x v="1"/>
    <x v="1"/>
    <s v="CREDIT FOR CONCEALED SHORTAGE_x000a__x000a_CREDIT OPEN BALANCE $629.55_x000a__x000a_PRODUCT AUTHORITY SHIPMENT_x000a__x000a_CARRIER : ABF"/>
    <x v="9"/>
    <s v="14214422"/>
    <s v="1077584454"/>
    <s v="807693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5.791666666701"/>
    <m/>
    <m/>
    <s v="Credit Request"/>
    <s v="Resolved"/>
    <s v="Vicki Y Pleak"/>
    <s v="Vicki Y Pleak"/>
    <s v="Commercial"/>
    <s v="Schlage Residential Mechanical"/>
    <x v="4"/>
    <x v="10"/>
    <s v=""/>
    <s v="2026 / 02"/>
    <s v="Return / Replace / Scrap"/>
    <s v="Product"/>
  </r>
  <r>
    <x v="109"/>
    <s v="CAS6420000"/>
    <s v="Issue"/>
    <s v="Return / Replace / Scrap"/>
    <s v="Quantity"/>
    <m/>
    <m/>
    <s v="Schlage Residential"/>
    <s v="Lock"/>
    <x v="1"/>
    <x v="1"/>
    <s v="CREDIT FOR CONCEALED SHORTAGE_x000a__x000a_CREDIT OPEN BALANCE $343.58_x000a__x000a_PRODUCT AUTHORITY SHIPMENT_x000a__x000a_CARRIER : ABF"/>
    <x v="9"/>
    <s v="14209971"/>
    <s v="1075467774"/>
    <s v="807494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2.791666666701"/>
    <m/>
    <m/>
    <s v="Credit Request"/>
    <s v="Resolved"/>
    <s v="Vicki Y Pleak"/>
    <s v="Vicki Y Pleak"/>
    <s v="Commercial"/>
    <s v="Schlage Residential Mechanical"/>
    <x v="4"/>
    <x v="10"/>
    <s v=""/>
    <s v="2026 / 02"/>
    <s v="Return / Replace / Scrap"/>
    <s v="Product"/>
  </r>
  <r>
    <x v="110"/>
    <s v="CAS6409218"/>
    <s v="Issue"/>
    <s v="Return / Replace / Scrap"/>
    <s v="Quantity"/>
    <m/>
    <m/>
    <s v="Schlage Residential"/>
    <s v="Lock"/>
    <x v="1"/>
    <x v="1"/>
    <s v="CREDIT FOR CONCEALED SHORTAGE_x000a__x000a_CREDIT OPEN BALANCE $325.35_x000a__x000a_PRODUCT AUTHORITY SHIPMENT_x000a__x000a_CARRIER : ESTES"/>
    <x v="9"/>
    <s v="14218786"/>
    <s v="1079698610"/>
    <s v="8087446"/>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6.791666666701"/>
    <m/>
    <m/>
    <s v="Credit Request"/>
    <s v="Resolved"/>
    <s v="Vicki Y Pleak"/>
    <s v="Vicki Y Pleak"/>
    <s v="Commercial"/>
    <s v="Schlage Residential Mechanical"/>
    <x v="4"/>
    <x v="10"/>
    <s v=""/>
    <s v="2026 / 02"/>
    <s v="Return / Replace / Scrap"/>
    <s v="Product"/>
  </r>
  <r>
    <x v="111"/>
    <s v="CAS6409187"/>
    <s v="Issue"/>
    <s v="Return / Replace / Scrap"/>
    <s v="Quantity"/>
    <m/>
    <m/>
    <s v="Schlage Residential"/>
    <s v="Lock"/>
    <x v="1"/>
    <x v="1"/>
    <s v="CREDIT FOR CONCEALED SHORTAGE_x000a__x000a_CREDIT OPEN BALANCE $383.39_x000a__x000a_PRODUCT AUTHORITY SHIPMENT_x000a__x000a_CARRIER : SAIA"/>
    <x v="9"/>
    <s v="14214236"/>
    <s v="1077543196"/>
    <s v="807495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3.791666666701"/>
    <m/>
    <m/>
    <s v="Credit Request"/>
    <s v="Resolved"/>
    <s v="Vicki Y Pleak"/>
    <s v="Vicki Y Pleak"/>
    <s v="Commercial"/>
    <s v="Schlage Residential Mechanical"/>
    <x v="4"/>
    <x v="10"/>
    <s v=""/>
    <s v="2026 / 02"/>
    <s v="Return / Replace / Scrap"/>
    <s v="Product"/>
  </r>
  <r>
    <x v="112"/>
    <s v="CAS6409143"/>
    <s v="Issue"/>
    <s v="Return / Replace / Scrap"/>
    <s v="Quantity"/>
    <m/>
    <m/>
    <s v="Schlage Residential"/>
    <s v="Lock"/>
    <x v="1"/>
    <x v="1"/>
    <s v="CREDIT FOR CONCEALED SHORTAGE_x000a__x000a_CREDIT OPEN BALANCE $311.68_x000a__x000a_PRODUCT AUTHORITY SHIPMENT_x000a__x000a_CARRIER : R&amp;L"/>
    <x v="9"/>
    <s v="14209944"/>
    <s v="1075467813"/>
    <s v="8074943"/>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2.791666666701"/>
    <m/>
    <m/>
    <s v="Credit Request"/>
    <s v="Resolved"/>
    <s v="Vicki Y Pleak"/>
    <s v="Vicki Y Pleak"/>
    <s v="Commercial"/>
    <s v="Schlage Residential Mechanical"/>
    <x v="4"/>
    <x v="10"/>
    <s v=""/>
    <s v="2026 / 02"/>
    <s v="Return / Replace / Scrap"/>
    <s v="Product"/>
  </r>
  <r>
    <x v="113"/>
    <s v="CAS6442226"/>
    <s v="Issue"/>
    <s v="Credit / Debit Request"/>
    <s v="Pricing Adjustment"/>
    <m/>
    <m/>
    <s v="Schlage Residential"/>
    <s v="Lock"/>
    <x v="2"/>
    <x v="1"/>
    <s v="Credit Internal Use Only/Do not send to Orgill for concealed shortage / Damage._x000a_Customer  8155478DMQ_x000a__x000a_See attached request."/>
    <x v="30"/>
    <s v="14260764 - SO03256662"/>
    <s v="43798949"/>
    <s v="8155478"/>
    <n v="6"/>
    <s v="Schlage Residential"/>
    <s v="Lock"/>
    <s v="F Knob/Lever"/>
    <s v="Olathe"/>
    <n v="10"/>
    <s v="0531033~Quote / Product Error|1040~Errore Offerta / Prodotto|3082~Oferta / error producto|1036~Erreur de devis / produit"/>
    <s v="0171033~Broken Package|1040~Collo Rotto|3082~Embalaje roto|1036~Emballage cassé"/>
    <m/>
    <s v="Sales"/>
    <m/>
    <s v="044074681253 / 427-9949"/>
    <m/>
    <m/>
    <m/>
    <n v="46057.791666666701"/>
    <m/>
    <m/>
    <s v="Credit Request"/>
    <s v="Resolved"/>
    <s v="Curt Moore"/>
    <s v="Curt Moore"/>
    <s v="Residential - Channel"/>
    <s v="Schlage Residential Mechanical"/>
    <x v="5"/>
    <x v="5"/>
    <s v=""/>
    <s v="2026 / 02"/>
    <s v="Credit / Debit Request"/>
    <s v="Customer Care"/>
  </r>
  <r>
    <x v="114"/>
    <s v="CAS6442184"/>
    <s v="Issue"/>
    <s v="Credit / Debit Request"/>
    <s v="Pricing Adjustment"/>
    <m/>
    <m/>
    <s v="Schlage Residential"/>
    <s v="Lock"/>
    <x v="2"/>
    <x v="1"/>
    <s v="Credit Internal Use Only/Do not send to Orgill for concealed shortage / Damage._x000a_Customer  8155473DMQ_x000a__x000a_See attached request."/>
    <x v="30"/>
    <s v="14260001 - SO03255601"/>
    <s v="73797506"/>
    <s v="8155473"/>
    <n v="38"/>
    <s v="Schlage Residential"/>
    <s v="Lock"/>
    <s v="F Knob/Lever"/>
    <s v="Olathe"/>
    <n v="1"/>
    <s v="0531033~Quote / Product Error|1040~Errore Offerta / Prodotto|3082~Oferta / error producto|1036~Erreur de devis / produit"/>
    <s v="0171033~Broken Package|1040~Collo Rotto|3082~Embalaje roto|1036~Emballage cassé"/>
    <m/>
    <s v="Sales"/>
    <m/>
    <s v="043156792191 / 881-1085"/>
    <m/>
    <m/>
    <m/>
    <n v="46057.791666666701"/>
    <m/>
    <m/>
    <s v="Credit Request"/>
    <s v="Resolved"/>
    <s v="Curt Moore"/>
    <s v="Curt Moore"/>
    <s v="Residential - Channel"/>
    <s v="Schlage Residential Mechanical"/>
    <x v="5"/>
    <x v="5"/>
    <s v=""/>
    <s v="2026 / 02"/>
    <s v="Credit / Debit Request"/>
    <s v="Customer Care"/>
  </r>
  <r>
    <x v="114"/>
    <s v="CAS6442184"/>
    <s v="Issue"/>
    <s v="Credit / Debit Request"/>
    <s v="Pricing Adjustment"/>
    <m/>
    <m/>
    <s v="Schlage Residential"/>
    <s v="Lock"/>
    <x v="2"/>
    <x v="1"/>
    <s v="Credit Internal Use Only/Do not send to Orgill for concealed shortage / Damage._x000a_Customer  8155473DMQ_x000a__x000a_See attached request."/>
    <x v="30"/>
    <s v="14260001 - SO03255601"/>
    <s v="73797506"/>
    <s v="8155473"/>
    <n v="23"/>
    <s v="Schlage Residential"/>
    <s v="Lock"/>
    <s v="F Knob/Lever"/>
    <s v="Olathe"/>
    <n v="1"/>
    <s v="0531033~Quote / Product Error|1040~Errore Offerta / Prodotto|3082~Oferta / error producto|1036~Erreur de devis / produit"/>
    <s v="0171033~Broken Package|1040~Collo Rotto|3082~Embalaje roto|1036~Emballage cassé"/>
    <m/>
    <s v="Sales"/>
    <m/>
    <s v="043156791422 / 869-9449"/>
    <m/>
    <m/>
    <m/>
    <n v="46057.791666666701"/>
    <m/>
    <m/>
    <s v="Credit Request"/>
    <s v="Resolved"/>
    <s v="Curt Moore"/>
    <s v="Curt Moore"/>
    <s v="Residential - Channel"/>
    <s v="Schlage Residential Mechanical"/>
    <x v="5"/>
    <x v="5"/>
    <s v=""/>
    <s v="2026 / 02"/>
    <s v="Credit / Debit Request"/>
    <s v="Customer Care"/>
  </r>
  <r>
    <x v="115"/>
    <s v="CAS6443711"/>
    <s v="Issue"/>
    <s v="Return / Replace / Scrap"/>
    <s v="Defective Product"/>
    <m/>
    <s v="Reliability"/>
    <s v="Schlage Residential"/>
    <s v="Lock"/>
    <x v="3"/>
    <x v="0"/>
    <s v="CREDIT REQUEST- DEFECTIVE LOCKS_x000a_INVOICE 7964243_x000a_LINE 4-  LOCK.B60.N.622.12-321.10-116.134.KA4.C.48-180.2 QTY 1_x000a_CREDIT REQUEST- $32.21 _x000a_8260 PATUXENT RANGE RD 839532_x000a_STE A#_x000a_JESSUP, MD 20794_x000a_------------------------------------------------------------------------------------------------------------------------------------------------------------------_x000a_Please see attached credit request for B&amp;K Distributors in Jessup, MD."/>
    <x v="46"/>
    <s v="14142239"/>
    <s v="PO49280"/>
    <s v="7964243"/>
    <n v="4"/>
    <s v="Schlage Residential"/>
    <s v="Lock"/>
    <s v="B"/>
    <s v="Ensenada"/>
    <n v="1"/>
    <s v="0311033~Functional Mechanical|1040~Funzionamento Meccanico|3082~Función mecánica|1036~Functional Mechanical"/>
    <s v="0201033~Cannot lock / Unlock|1040~Impossibile bloccare / sbloccare|3082~No se puede bloquear/desbloquear|1036~Impossible de verrouiller / Déverrouiller"/>
    <m/>
    <s v="Product"/>
    <m/>
    <m/>
    <m/>
    <m/>
    <m/>
    <n v="45874.833333333299"/>
    <m/>
    <m/>
    <s v="Credit Request"/>
    <s v="Resolved"/>
    <s v="Erika Harris"/>
    <s v="Erika Harris"/>
    <s v="Residential - Channel"/>
    <s v="Schlage Residential Mechanical"/>
    <x v="0"/>
    <x v="14"/>
    <s v=""/>
    <s v="2026 / 02"/>
    <s v="Return / Replace / Scrap"/>
    <s v="Product"/>
  </r>
  <r>
    <x v="116"/>
    <s v="CAS6443683"/>
    <s v="Issue"/>
    <s v="Return / Replace / Scrap"/>
    <s v="Defective Product"/>
    <m/>
    <s v="Reliability"/>
    <s v="Schlage Residential"/>
    <s v="Lock"/>
    <x v="2"/>
    <x v="0"/>
    <s v="CREDIT REQUEST- DEFECTIVE LOCKS_x000a_INVOICE 7965345_x000a_LINE 3- LOCK.F51A.BRW.622.16-086.10-027.134.KA4.C.48-180.2 QTY 1_x000a_CREDIT AMOUNT - $52.78_x000a_8260 PATUXENT RANGE RD 839532_x000a_STE A#_x000a_JESSUP, MD 20794_x000a_------------------------------------------------------------------------------------------------------------------------------------------------------------------_x000a_Please see attached credit request for B&amp;K Distributors in Jessup, MD."/>
    <x v="46"/>
    <s v="14142239"/>
    <s v="PO49280"/>
    <s v="7965345"/>
    <n v="3"/>
    <s v="Schlage Residential"/>
    <s v="Lock"/>
    <s v="F Knob/Lever"/>
    <s v="Ensenada"/>
    <n v="1"/>
    <s v="0311033~Functional Mechanical|1040~Funzionamento Meccanico|3082~Función mecánica|1036~Functional Mechanical"/>
    <s v="0201033~Cannot lock / Unlock|1040~Impossibile bloccare / sbloccare|3082~No se puede bloquear/desbloquear|1036~Impossible de verrouiller / Déverrouiller"/>
    <m/>
    <s v="Product"/>
    <m/>
    <m/>
    <m/>
    <m/>
    <m/>
    <n v="45874.833333333299"/>
    <m/>
    <m/>
    <s v="Credit Request"/>
    <s v="Resolved"/>
    <s v="Erika Harris"/>
    <s v="Erika Harris"/>
    <s v="Residential - Channel"/>
    <s v="Schlage Residential Mechanical"/>
    <x v="0"/>
    <x v="14"/>
    <s v=""/>
    <s v="2026 / 02"/>
    <s v="Return / Replace / Scrap"/>
    <s v="Product"/>
  </r>
  <r>
    <x v="117"/>
    <s v="CAS6443633"/>
    <s v="Issue"/>
    <s v="Return / Replace / Scrap"/>
    <s v="Defective Product"/>
    <m/>
    <s v="Reliability"/>
    <s v="Schlage Residential"/>
    <s v="Lock"/>
    <x v="2"/>
    <x v="0"/>
    <s v="CREDIT REQUEST- DEFECTIVE LOCKS_x000a_INVOICE 7958965_x000a_LINE 3- LOCK.F51A.LAT.625.16-086.10-027.134.KA4.C.48-180.2 QTY 1 _x000a_CREDIT AMOUNT- $40.30 _x000a__x000a_8260 PATUXENT RANGE RD 839532_x000a_STE A#_x000a_JESSUP, MD 20794_x000a_------------------------------------------------------------------------------------------------------------------------------------------------------------------_x000a_Please see attached credit request for B&amp;K Distributors in Jessup, MD."/>
    <x v="46"/>
    <s v="14138509"/>
    <s v="PO49259"/>
    <s v="7958965"/>
    <n v="3"/>
    <s v="Schlage Residential"/>
    <s v="Lock"/>
    <s v="F Knob/Lever"/>
    <s v="Ensenada"/>
    <n v="1"/>
    <s v="0311033~Functional Mechanical|1040~Funzionamento Meccanico|3082~Función mecánica|1036~Functional Mechanical"/>
    <s v="0201033~Cannot lock / Unlock|1040~Impossibile bloccare / sbloccare|3082~No se puede bloquear/desbloquear|1036~Impossible de verrouiller / Déverrouiller"/>
    <m/>
    <s v="Product"/>
    <m/>
    <m/>
    <m/>
    <m/>
    <m/>
    <n v="45868.833333333299"/>
    <m/>
    <m/>
    <s v="Credit Request"/>
    <s v="Resolved"/>
    <s v="Erika Harris"/>
    <s v="Erika Harris"/>
    <s v="Residential - Channel"/>
    <s v="Schlage Residential Mechanical"/>
    <x v="0"/>
    <x v="14"/>
    <s v=""/>
    <s v="2026 / 02"/>
    <s v="Return / Replace / Scrap"/>
    <s v="Product"/>
  </r>
  <r>
    <x v="118"/>
    <s v="CAS6435239"/>
    <s v="Issue"/>
    <s v="Return / Replace / Scrap"/>
    <s v="Quantity"/>
    <m/>
    <m/>
    <s v="Schlage Residential"/>
    <s v="Lock"/>
    <x v="1"/>
    <x v="1"/>
    <s v="CONCEALED SHORTAGE:_x000a__x000a_LOWES REF#  DM001128_x000a__x000a_CREDIT BALANCE : $211.38_x000a__x000a_CARRER:   SAIA"/>
    <x v="24"/>
    <s v="SO03226662"/>
    <s v="303769523"/>
    <s v="4565317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28.791666666701"/>
    <m/>
    <m/>
    <s v="Credit Request"/>
    <s v="Resolved"/>
    <s v="Vicki Y Pleak"/>
    <s v="Vicki Y Pleak"/>
    <s v="Commercial"/>
    <s v="Schlage Residential Mechanical"/>
    <x v="4"/>
    <x v="10"/>
    <s v=""/>
    <s v="2026 / 02"/>
    <s v="Return / Replace / Scrap"/>
    <s v="Product"/>
  </r>
  <r>
    <x v="119"/>
    <s v="CAS6435209"/>
    <s v="Issue"/>
    <s v="Return / Replace / Scrap"/>
    <s v="Quantity"/>
    <m/>
    <m/>
    <s v="Schlage Residential"/>
    <s v="Lock"/>
    <x v="1"/>
    <x v="1"/>
    <s v="CONCEALED SHORTAGE:_x000a__x000a_LOWES REF#  AD857258_x000a__x000a_CREDIT BALANCE : $419.73_x000a__x000a_CARRER:   SAIA"/>
    <x v="24"/>
    <s v="SO03204259"/>
    <s v="301933104"/>
    <s v="4563379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6.791666666701"/>
    <m/>
    <m/>
    <s v="Credit Request"/>
    <s v="Resolved"/>
    <s v="Vicki Y Pleak"/>
    <s v="Vicki Y Pleak"/>
    <s v="Commercial"/>
    <s v="Schlage Residential Mechanical"/>
    <x v="4"/>
    <x v="10"/>
    <s v=""/>
    <s v="2026 / 02"/>
    <s v="Return / Replace / Scrap"/>
    <s v="Product"/>
  </r>
  <r>
    <x v="120"/>
    <s v="CAS6435170"/>
    <s v="Issue"/>
    <s v="Return / Replace / Scrap"/>
    <s v="Quantity"/>
    <m/>
    <m/>
    <s v="Schlage Residential"/>
    <s v="Lock"/>
    <x v="1"/>
    <x v="1"/>
    <s v="CONCEALED SHORTAGE:_x000a__x000a_LOWES REF#  AD884670_x000a__x000a_CREDIT BALANCE : $675.40_x000a__x000a_CARRER:   SAIA"/>
    <x v="24"/>
    <s v="SO03204255"/>
    <s v="301933103"/>
    <s v="4563078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5.791666666701"/>
    <m/>
    <m/>
    <s v="Credit Request"/>
    <s v="Resolved"/>
    <s v="Vicki Y Pleak"/>
    <s v="Vicki Y Pleak"/>
    <s v="Commercial"/>
    <s v="Schlage Residential Mechanical"/>
    <x v="4"/>
    <x v="10"/>
    <s v=""/>
    <s v="2026 / 02"/>
    <s v="Return / Replace / Scrap"/>
    <s v="Product"/>
  </r>
  <r>
    <x v="121"/>
    <s v="CAS6435131"/>
    <s v="Issue"/>
    <s v="Return / Replace / Scrap"/>
    <s v="Quantity"/>
    <m/>
    <m/>
    <s v="Schlage Residential"/>
    <s v="Lock"/>
    <x v="1"/>
    <x v="1"/>
    <s v="CONCEALED SHORTAGE:_x000a__x000a_LOWES REF#  AD843809_x000a__x000a_CREDIT BALANCE : $247.72_x000a__x000a_CARRER:   SAIA"/>
    <x v="24"/>
    <s v="SO03202580"/>
    <s v="301785328"/>
    <s v="4562926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2.791666666701"/>
    <m/>
    <m/>
    <s v="Credit Request"/>
    <s v="Resolved"/>
    <s v="Vicki Y Pleak"/>
    <s v="Vicki Y Pleak"/>
    <s v="Commercial"/>
    <s v="Schlage Residential Mechanical"/>
    <x v="4"/>
    <x v="10"/>
    <s v=""/>
    <s v="2026 / 02"/>
    <s v="Return / Replace / Scrap"/>
    <s v="Product"/>
  </r>
  <r>
    <x v="122"/>
    <s v="CAS6435086"/>
    <s v="Issue"/>
    <s v="Return / Replace / Scrap"/>
    <s v="Shipping"/>
    <m/>
    <m/>
    <s v="Schlage Residential"/>
    <s v="Lock"/>
    <x v="2"/>
    <x v="1"/>
    <s v="box of (QTY 4)  F51 V BWE 619 16-086 10-027 /043156555505 from order 14256323 SO03249173_x000a_invoice 8149552 - Zero cost RMA requested by DSC to receive product"/>
    <x v="16"/>
    <s v="14256323"/>
    <s v="93794034"/>
    <s v="8149552"/>
    <m/>
    <m/>
    <m/>
    <m/>
    <m/>
    <m/>
    <m/>
    <m/>
    <m/>
    <m/>
    <m/>
    <m/>
    <m/>
    <m/>
    <m/>
    <m/>
    <m/>
    <m/>
    <m/>
    <s v="Active"/>
    <s v="Kris Learned"/>
    <s v="Kris Learned"/>
    <s v="Residential - Channel"/>
    <s v="Schlage Residential Mechanical"/>
    <x v="8"/>
    <x v="9"/>
    <s v=""/>
    <s v="2026 / 02"/>
    <s v="Return / Replace / Scrap"/>
    <s v="Customer Care"/>
  </r>
  <r>
    <x v="123"/>
    <s v="CAS6435066"/>
    <s v="Issue"/>
    <s v="Return / Replace / Scrap"/>
    <s v="Quantity"/>
    <m/>
    <m/>
    <s v="Schlage Residential"/>
    <s v="Lock"/>
    <x v="1"/>
    <x v="1"/>
    <s v="CONCEALED SHORTAGE:_x000a__x000a_LOWES REF#  AD852155_x000a__x000a_CREDIT BALANCE : $425.13_x000a__x000a_CARRER:   SAIA"/>
    <x v="24"/>
    <s v="SO03202383"/>
    <s v="301785327"/>
    <s v="4562750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1.791666666701"/>
    <m/>
    <m/>
    <s v="Credit Request"/>
    <s v="Resolved"/>
    <s v="Vicki Y Pleak"/>
    <s v="Vicki Y Pleak"/>
    <s v="Commercial"/>
    <s v="Schlage Residential Mechanical"/>
    <x v="4"/>
    <x v="10"/>
    <s v=""/>
    <s v="2026 / 02"/>
    <s v="Return / Replace / Scrap"/>
    <s v="Product"/>
  </r>
  <r>
    <x v="124"/>
    <s v="CAS6427016"/>
    <s v="Issue"/>
    <s v="Credit / Debit Request"/>
    <s v="Pricing Adjustment"/>
    <m/>
    <m/>
    <s v="Schlage Residential"/>
    <s v="Lock"/>
    <x v="2"/>
    <x v="1"/>
    <s v="Credit Internal Use Only/Do not send to Orgill for concealed shortage / Damage._x000a_Customer  8142864DMQ_x000a__x000a_See attached request."/>
    <x v="30"/>
    <s v="14250558 - SO03239313"/>
    <s v="43789169"/>
    <s v="8142864"/>
    <m/>
    <s v="Schlage Residential"/>
    <s v="Lock"/>
    <s v="F Knob/Lever"/>
    <s v="Olathe"/>
    <n v="8"/>
    <s v="0531033~Quote / Product Error|1040~Errore Offerta / Prodotto|3082~Oferta / error producto|1036~Erreur de devis / produit"/>
    <s v="0171033~Broken Package|1040~Collo Rotto|3082~Embalaje roto|1036~Emballage cassé"/>
    <m/>
    <s v="Sales"/>
    <m/>
    <s v="043156719679 / 740-5327"/>
    <m/>
    <m/>
    <m/>
    <n v="46047.791666666701"/>
    <m/>
    <m/>
    <s v="Credit Request"/>
    <s v="Resolved"/>
    <s v="Curt Moore"/>
    <s v="Curt Moore"/>
    <s v="Residential - Channel"/>
    <s v="Schlage Residential Mechanical"/>
    <x v="5"/>
    <x v="5"/>
    <s v=""/>
    <s v="2026 / 02"/>
    <s v="Credit / Debit Request"/>
    <s v="Customer Care"/>
  </r>
  <r>
    <x v="125"/>
    <s v="CAS6426987"/>
    <s v="Issue"/>
    <s v="Credit / Debit Request"/>
    <s v="Pricing Adjustment"/>
    <m/>
    <m/>
    <s v="Schlage Residential"/>
    <s v="Lock"/>
    <x v="2"/>
    <x v="1"/>
    <s v="Credit Internal Use Only/Do not send to Orgill for concealed shortage / Damage._x000a_Customer  8142884DMQ_x000a__x000a_See attached request."/>
    <x v="30"/>
    <s v="14250560 - SO03239316"/>
    <s v="43789170"/>
    <s v="8142884"/>
    <n v="3"/>
    <s v="Schlage Residential"/>
    <s v="Lock"/>
    <s v="F Knob/Lever"/>
    <s v="Olathe"/>
    <n v="4"/>
    <s v="0531033~Quote / Product Error|1040~Errore Offerta / Prodotto|3082~Oferta / error producto|1036~Erreur de devis / produit"/>
    <s v="0171033~Broken Package|1040~Collo Rotto|3082~Embalaje roto|1036~Emballage cassé"/>
    <m/>
    <s v="Sales"/>
    <m/>
    <m/>
    <m/>
    <m/>
    <m/>
    <n v="46047.791666666701"/>
    <m/>
    <m/>
    <s v="Credit Request"/>
    <s v="Resolved"/>
    <s v="Curt Moore"/>
    <s v="Curt Moore"/>
    <s v="Residential - Channel"/>
    <s v="Schlage Residential Mechanical"/>
    <x v="5"/>
    <x v="5"/>
    <s v=""/>
    <s v="2026 / 02"/>
    <s v="Credit / Debit Request"/>
    <s v="Customer Care"/>
  </r>
  <r>
    <x v="126"/>
    <s v="CAS6417791"/>
    <s v="Issue"/>
    <s v="Return / Replace / Scrap"/>
    <s v="Shipping"/>
    <m/>
    <s v="Out of Box"/>
    <s v="Schlage Residential"/>
    <s v="Lock"/>
    <x v="2"/>
    <x v="0"/>
    <s v="NCR | DAMAGED | CARRIER ERROR | SEE ATTACHED PHOTOS._x000a__x000a_LINE 36, QTY 2: LOCK.F40.LAT.622.16-080.10-027.134_x000a_043156479122_x000a__x000a_---------------------------------_x000a_We had 2) F40LAT622 come in damaged on PO43753.  Please advise if you want to replace or short pay?  Thanks again!_x000a__x000a_Gary Raburn_x000a_Buyer"/>
    <x v="47"/>
    <s v="14255336"/>
    <s v="PO43753"/>
    <s v="8147479"/>
    <n v="36"/>
    <s v="Schlage Residential"/>
    <s v="Lock"/>
    <s v="F Knob/Lever"/>
    <s v="Ensenada"/>
    <n v="2"/>
    <s v="0071033~Appearance / Finish|1040~Estetica / Finitura|3082~Estética / Acabado|1036~Apparence/Finition"/>
    <s v="0491033~Dented / Scratches|1040~Ammaccato/graffiato|3082~Abollado/rayado|1036~Bosselé / rayé"/>
    <m/>
    <s v="Product"/>
    <m/>
    <s v="043156479122"/>
    <s v="F40"/>
    <m/>
    <m/>
    <n v="46049.791666666701"/>
    <m/>
    <m/>
    <s v="Replace Only"/>
    <s v="Resolved"/>
    <s v="Janelta Crawford"/>
    <s v="Janelta Crawford"/>
    <s v="Residential - Channel"/>
    <s v="Schlage Residential Mechanical"/>
    <x v="2"/>
    <x v="2"/>
    <s v=""/>
    <s v="2026 / 02"/>
    <s v="Return / Replace / Scrap"/>
    <s v="Product"/>
  </r>
  <r>
    <x v="127"/>
    <s v="CAS6407998"/>
    <s v="Issue"/>
    <s v="Return / Replace / Scrap"/>
    <s v="Defective Product"/>
    <m/>
    <s v="Reliability"/>
    <s v="Schlage Residential"/>
    <s v="Lock"/>
    <x v="1"/>
    <x v="0"/>
    <s v="REPLACEMENT FOR DEFECTIVE LOCK--PO HUD-P20-001_x000a_LINE 4-QTY 1--LOCK.F40.LAT.716.16-080.10-027.134_x000a_-------------_x000a_A customer service representative reached out to me regarding (1) F40 LAT 716 that will not unlock and gets jammed, and they are not open the door._x000a__x000a_Can we please get a replacement for this? This was ordered under HUD-P20-001."/>
    <x v="48"/>
    <s v="14085808"/>
    <s v="HUD-P20-001"/>
    <s v="7889046"/>
    <n v="4"/>
    <s v="Schlage Residential"/>
    <s v="Lock"/>
    <s v="F Handleset"/>
    <s v="Ensenada"/>
    <n v="1"/>
    <s v="0311033~Functional Mechanical|1040~Funzionamento Meccanico|3082~Función mecánica|1036~Functional Mechanical"/>
    <s v="0201033~Cannot lock / Unlock|1040~Impossibile bloccare / sbloccare|3082~No se puede bloquear/desbloquear|1036~Impossible de verrouiller / Déverrouiller"/>
    <m/>
    <s v="Product"/>
    <m/>
    <s v="043156184934"/>
    <s v="F58"/>
    <m/>
    <m/>
    <n v="45802.833333333299"/>
    <m/>
    <m/>
    <s v="Replace Only"/>
    <s v="Resolved"/>
    <s v="Jessica Cook"/>
    <s v="Jessica Cook"/>
    <s v="Residential - Channel"/>
    <s v="Schlage Residential Mechanical"/>
    <x v="0"/>
    <x v="14"/>
    <s v=""/>
    <s v="2026 / 02"/>
    <s v="Return / Replace / Scrap"/>
    <s v="Product"/>
  </r>
  <r>
    <x v="128"/>
    <s v="CAS6449208"/>
    <s v="Issue"/>
    <s v="Return / Replace / Scrap"/>
    <s v="Quantity"/>
    <m/>
    <m/>
    <s v="Schlage Residential"/>
    <s v="Lock"/>
    <x v="1"/>
    <x v="1"/>
    <s v="CREDIT FOR CONCEALED SHORTAGE_x000a__x000a_CREDIT OPEN BALANCE : $6092.40_x000a__x000a_IFC SHIPMENT_x000a__x000a_CARRIER : SCHNEIDER_x000a__x000a_CARRIER UNABLE TO PROVIDE THE DR!!!"/>
    <x v="9"/>
    <s v="SO03183986"/>
    <s v="1079330761"/>
    <s v="4562328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9.791666666701"/>
    <m/>
    <m/>
    <s v="Credit Request"/>
    <s v="Resolved"/>
    <s v="Vicki Y Pleak"/>
    <s v="Vicki Y Pleak"/>
    <s v="Commercial"/>
    <s v="Schlage Residential Mechanical"/>
    <x v="4"/>
    <x v="10"/>
    <s v=""/>
    <s v="2026 / 02"/>
    <s v="Return / Replace / Scrap"/>
    <s v="Product"/>
  </r>
  <r>
    <x v="129"/>
    <s v="CAS6449173"/>
    <s v="Issue"/>
    <s v="Return / Replace / Scrap"/>
    <s v="Quantity"/>
    <m/>
    <m/>
    <s v="Schlage Residential"/>
    <s v="Lock"/>
    <x v="1"/>
    <x v="1"/>
    <s v="CREDIT FOR CONCEALED SHORTAGE_x000a__x000a_CREDIT OPEN BALANCE : $1105.37_x000a__x000a_IFC SHIPMENT_x000a__x000a_CARRIER : USA_x000a__x000a_CARRIER UNABLE TO PROVIDE THE DR!!!"/>
    <x v="9"/>
    <s v="SO03192364"/>
    <s v="1081484966"/>
    <s v="4561033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1.791666666701"/>
    <m/>
    <m/>
    <s v="Credit Request"/>
    <s v="Resolved"/>
    <s v="Vicki Y Pleak"/>
    <s v="Vicki Y Pleak"/>
    <s v="Commercial"/>
    <s v="Schlage Residential Mechanical"/>
    <x v="4"/>
    <x v="10"/>
    <s v=""/>
    <s v="2026 / 02"/>
    <s v="Return / Replace / Scrap"/>
    <s v="Product"/>
  </r>
  <r>
    <x v="130"/>
    <s v="CAS6449144"/>
    <s v="Issue"/>
    <s v="Return / Replace / Scrap"/>
    <s v="Quantity"/>
    <m/>
    <m/>
    <s v="Schlage Residential"/>
    <s v="Lock"/>
    <x v="1"/>
    <x v="1"/>
    <s v="CREDIT FOR CONCEALED SHORTAGE_x000a__x000a_CREDIT OPEN BALANCE : $2961.61_x000a__x000a_IFC SHIPMENT_x000a__x000a_CARRIER : USA_x000a__x000a_CARRIER UNABLE TO PROVIDE THE DR!!!"/>
    <x v="9"/>
    <s v="SO03177485"/>
    <s v="1077634546"/>
    <s v="4559214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4.791666666701"/>
    <m/>
    <m/>
    <s v="Credit Request"/>
    <s v="Resolved"/>
    <s v="Vicki Y Pleak"/>
    <s v="Vicki Y Pleak"/>
    <s v="Commercial"/>
    <s v="Schlage Residential Mechanical"/>
    <x v="4"/>
    <x v="10"/>
    <s v=""/>
    <s v="2026 / 02"/>
    <s v="Return / Replace / Scrap"/>
    <s v="Product"/>
  </r>
  <r>
    <x v="131"/>
    <s v="CAS6448959"/>
    <s v="Issue"/>
    <s v="Return / Replace / Scrap"/>
    <s v="Quantity"/>
    <m/>
    <m/>
    <s v="Schlage Residential"/>
    <s v="Lock"/>
    <x v="1"/>
    <x v="1"/>
    <s v="CREDIT FOR CONCEALED SHORTAGE:_x000a__x000a_DISPUTE CLAIM DENIED: DSPT11884562271_x000a__x000a_OPEN BALANCE $8409.26_x000a__x000a__x000a_CARRIER : UPS"/>
    <x v="49"/>
    <s v="SO03149403"/>
    <s v="7Q1WGDAR"/>
    <s v="45566253 AS DM 4564312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58.833333333299"/>
    <m/>
    <m/>
    <s v="Credit Request"/>
    <s v="Resolved"/>
    <s v="Vicki Y Pleak"/>
    <s v="Vicki Y Pleak"/>
    <s v="Commercial"/>
    <s v="Schlage Residential Mechanical"/>
    <x v="4"/>
    <x v="10"/>
    <s v=""/>
    <s v="2026 / 02"/>
    <s v="Return / Replace / Scrap"/>
    <s v="Product"/>
  </r>
  <r>
    <x v="132"/>
    <s v="CAS6448923"/>
    <s v="Issue"/>
    <s v="Return / Replace / Scrap"/>
    <s v="Quantity"/>
    <m/>
    <m/>
    <s v="Schlage Residential"/>
    <s v="Lock"/>
    <x v="1"/>
    <x v="1"/>
    <s v="CREDIT FOR CONCEALED SHORTAGE:_x000a__x000a_DISPUTE CLAIM DENIED: DSPT11244869215_x000a__x000a_OPEN BALANCE $1030.59_x000a__x000a__x000a_CARRIER : UPS"/>
    <x v="49"/>
    <s v="SO03117013"/>
    <s v="7H2PZ3ED"/>
    <s v="45518952 AS DM4560454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22.833333333299"/>
    <m/>
    <m/>
    <s v="Credit Request"/>
    <s v="Resolved"/>
    <s v="Vicki Y Pleak"/>
    <s v="Vicki Y Pleak"/>
    <s v="Commercial"/>
    <s v="Schlage Residential Mechanical"/>
    <x v="4"/>
    <x v="10"/>
    <s v=""/>
    <s v="2026 / 02"/>
    <s v="Return / Replace / Scrap"/>
    <s v="Product"/>
  </r>
  <r>
    <x v="133"/>
    <s v="CAS6445570"/>
    <s v="Issue"/>
    <s v="Return / Replace / Scrap"/>
    <s v="Quantity"/>
    <m/>
    <m/>
    <s v="Schlage Residential"/>
    <s v="Lock"/>
    <x v="2"/>
    <x v="0"/>
    <s v="NC RPL _x000a_LINE 2 - QTY 8 - LOCK.F40.LAT.622.16-080.10-027.134_x000a_SHORT SHIPPED"/>
    <x v="50"/>
    <s v="14272598"/>
    <s v="35312"/>
    <s v="8171568"/>
    <n v="2"/>
    <s v="Schlage Residential"/>
    <s v="Lock"/>
    <s v="F Knob/Lever"/>
    <s v="Ensenada"/>
    <n v="8"/>
    <s v="0641033~Allegion Shipped Incorrect Amount|1040~(Allegion) Spedito Valore/Q.tà Errato|3082~Allegion envió una cantidad incorrecta|1036~Allegion a expédié un montant incorrect"/>
    <s v="3251033~Shortage|1040~Mancanza|1055~Eksiklik|3082~Escaso|1036~Rupture"/>
    <m/>
    <s v="Shipping"/>
    <m/>
    <s v="043156479122"/>
    <s v="F40"/>
    <m/>
    <m/>
    <n v="46072.791666666701"/>
    <m/>
    <m/>
    <s v="Replace Only"/>
    <s v="Resolved"/>
    <s v="Katie Ramsey"/>
    <s v="Katie Ramsey"/>
    <s v="Residential - Channel"/>
    <s v="Schlage Residential Mechanical"/>
    <x v="4"/>
    <x v="10"/>
    <s v=""/>
    <s v="2026 / 02"/>
    <s v="Return / Replace / Scrap"/>
    <s v="Product"/>
  </r>
  <r>
    <x v="134"/>
    <s v="CAS6438465"/>
    <s v="Issue"/>
    <s v="Return / Replace / Scrap"/>
    <s v="Quantity"/>
    <m/>
    <m/>
    <s v="Schlage Residential"/>
    <s v="Lock"/>
    <x v="1"/>
    <x v="1"/>
    <s v="CREDIT FOR CONCEALED SHORTAGE_x000a__x000a_CREDIT OPEN BALANCE $876.50_x000a__x000a_PRODUCT AUTHORITY SHIPMENT_x000a__x000a_CARRIER :  SAIA_x000a__x000a_ORG PAYMENT 2000556525 8.21.25 - SHORTAGE $7,170.17 - SUBMITTED THRU TWO DENIAL PROCESS._x000a_Settlement agreement submitted by Maria - re-payment processed for $6,204.04 -  CK#2000037786 2.13.26_x000a__x000a_Credit to clear off the open balance $433.47"/>
    <x v="9"/>
    <s v="14105046"/>
    <s v="1026586563"/>
    <s v="790781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817.833333333299"/>
    <m/>
    <m/>
    <s v="Credit Request"/>
    <s v="Resolved"/>
    <s v="Vicki Y Pleak"/>
    <s v="Vicki Y Pleak"/>
    <s v="Commercial"/>
    <s v="Schlage Residential Mechanical"/>
    <x v="4"/>
    <x v="10"/>
    <s v=""/>
    <s v="2026 / 02"/>
    <s v="Return / Replace / Scrap"/>
    <s v="Product"/>
  </r>
  <r>
    <x v="135"/>
    <s v="CAS6450745"/>
    <s v="Issue"/>
    <s v="Return / Replace / Scrap"/>
    <s v="Quantity"/>
    <m/>
    <m/>
    <s v="Schlage Residential"/>
    <s v="Lock"/>
    <x v="1"/>
    <x v="1"/>
    <s v="CREDIT FOR CONCEALED SHORTAGE_x000a__x000a_CREDIT OPEN BALANCE : $663.67_x000a__x000a_IFC SHIPMENT_x000a__x000a_CARRIER : KNIGHT"/>
    <x v="9"/>
    <s v="SO03179219"/>
    <s v="1077988264"/>
    <s v="4559401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7.791666666701"/>
    <m/>
    <m/>
    <s v="Credit Request"/>
    <s v="Resolved"/>
    <s v="Vicki Y Pleak"/>
    <s v="Vicki Y Pleak"/>
    <s v="Commercial"/>
    <s v="Schlage Residential Mechanical"/>
    <x v="4"/>
    <x v="10"/>
    <s v=""/>
    <s v="2026 / 02"/>
    <s v="Return / Replace / Scrap"/>
    <s v="Product"/>
  </r>
  <r>
    <x v="136"/>
    <s v="CAS6434052"/>
    <s v="Issue"/>
    <s v="Credit / Debit Request"/>
    <s v="Pricing Adjustment"/>
    <m/>
    <m/>
    <s v="Schlage Residential"/>
    <s v="Lock"/>
    <x v="3"/>
    <x v="0"/>
    <s v="IT TICKET INC0688173_x000a_UNABLE TO FIX DISCOUNT BEFORE ITEMS SHIPPED- MULTIPLIER FROM QUOTE ON LINE 7 SHOULD BE .31 (DISCOUNT TABLE ATTACHED) _x000a_PLEASE CREDIT DIFFERENCE IN AMOUNT FOR _x000a_LINE 7- LOCK.BE499WB.CEN.622.12-351.10-116.134.KD.C.48-180.1 QTY 4 _x000a_CREDIT DUE $130.56 + SURCHARGE DIFFERENCE $8.49_x000a_------------------------------------------------------------------------------------------------------------------------------------------------------------_x000a_QVL COMPLETE: VALID QUOTE 1604824 AND CREDIT IS APPROVED TO BE APPLIED TO THIS ORDER. SEE ATTACHED QUOTE PAGE FOR DISCOUNT. IT'S A ISSUE WITH THE SYSTEM APPLING THE DISCOUNT. IT (INC0688173) IS WORKING ON THE ISSUE. GT_x000a__x000a__x000a_LINE HOLD APPLIED _x000a_SOA AND QUOTE ATTACHED _x000a_CANCEL AND RE-ENTER LINES DIRECTLY - QUOTE NOT APPLYING CORRECTLY_x000a_QUOTE 1604824 HAS A MULTIPLIER OF .31 FOR ENCODE BE499_x000a__x000a_LINE 7- LOCK.BE499WB.CEN.622.12-351.10-116.134.KD.C.48-180.1 QTY 4 _x000a_PRICE SHOULD BE 816.00 * .31= $252.96 EA _x000a__x000a__x000a__x000a__x000a_-------------------------------------------------------------------------------------------------------_x000a_Apply Quote (Selected): 1604824_x000a_Is there anything else we should know about this request: This item should get a 69 discount_x000a_Please select the primary Product Type on this request: Electronic Locks/Readers and Credentials/Biometrics_x000a_Do you also need to update the Ship To Address on your order?: No_x000a_The original ship-to address is saved on the shipping tab._x000a_Email: mark.harders@bannersolutions.com_x000a_Phone Number: (515) 276-5741_x000a_Preferred Contact Method: Email"/>
    <x v="28"/>
    <s v="14269111"/>
    <s v="6378141"/>
    <s v="8169596"/>
    <n v="7"/>
    <s v="Schlage Residential"/>
    <s v="Lock"/>
    <s v="Encode Plus"/>
    <s v="Ensenada"/>
    <n v="4"/>
    <s v="Incorrect/Missing setup in BOM"/>
    <s v="Incorrect/Missing setup in BOM"/>
    <m/>
    <s v="Oracle BOM"/>
    <m/>
    <s v="194555086777"/>
    <m/>
    <m/>
    <m/>
    <n v="46072.791666666701"/>
    <m/>
    <m/>
    <s v="Credit Request"/>
    <s v="Resolved"/>
    <s v="Portal Cases"/>
    <s v="Erika Harris"/>
    <s v="Residential - Channel"/>
    <s v="Schlage Residential Mechanical"/>
    <x v="3"/>
    <x v="18"/>
    <s v=""/>
    <s v="2026 / 02"/>
    <s v="Credit / Debit Request"/>
    <s v="Customer Care"/>
  </r>
  <r>
    <x v="137"/>
    <s v="CAS6423075"/>
    <s v="Issue"/>
    <s v="Return / Replace / Scrap"/>
    <s v="Quantity"/>
    <m/>
    <m/>
    <s v="Schlage Residential"/>
    <s v="Lock"/>
    <x v="1"/>
    <x v="1"/>
    <s v="CONCEALED SHORTAGE:_x000a__x000a_LOWES REF#  AD842107_x000a__x000a_CREDIT BALANCE : $216.54_x000a__x000a_CARRER:   SAIA"/>
    <x v="24"/>
    <s v="SO03195394"/>
    <s v="301157380"/>
    <s v="4561833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5.791666666701"/>
    <m/>
    <m/>
    <s v="Credit Request"/>
    <s v="Resolved"/>
    <s v="Vicki Y Pleak"/>
    <s v="Vicki Y Pleak"/>
    <s v="Commercial"/>
    <s v="Schlage Residential Mechanical"/>
    <x v="4"/>
    <x v="10"/>
    <s v=""/>
    <s v="2026 / 02"/>
    <s v="Return / Replace / Scrap"/>
    <s v="Product"/>
  </r>
  <r>
    <x v="138"/>
    <s v="CAS6423046"/>
    <s v="Issue"/>
    <s v="Return / Replace / Scrap"/>
    <s v="Quantity"/>
    <m/>
    <m/>
    <s v="Schlage Residential"/>
    <s v="Lock"/>
    <x v="1"/>
    <x v="1"/>
    <s v="CONCEALED SHORTAGE:_x000a__x000a_LOWES REF#  AD833073_x000a__x000a_CREDIT BALANCE : $433.84_x000a__x000a_CARRER:   SAIA"/>
    <x v="24"/>
    <s v="SO03195393"/>
    <s v="301157379"/>
    <s v="4561833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5.791666666701"/>
    <m/>
    <m/>
    <s v="Credit Request"/>
    <s v="Resolved"/>
    <s v="Vicki Y Pleak"/>
    <s v="Vicki Y Pleak"/>
    <s v="Commercial"/>
    <s v="Schlage Residential Mechanical"/>
    <x v="4"/>
    <x v="10"/>
    <s v=""/>
    <s v="2026 / 02"/>
    <s v="Return / Replace / Scrap"/>
    <s v="Product"/>
  </r>
  <r>
    <x v="139"/>
    <s v="CAS6422987"/>
    <s v="Issue"/>
    <s v="Return / Replace / Scrap"/>
    <s v="Quantity"/>
    <m/>
    <m/>
    <s v="Schlage Residential"/>
    <s v="Lock"/>
    <x v="1"/>
    <x v="1"/>
    <s v="CREDIT FOR CONCEALED SHORTAGE_x000a__x000a_CREDIT OPEN BALANCE $983.14_x000a__x000a_PRODUCT AUTHORITY SHIPMENT_x000a__x000a_CARRIER : ABF"/>
    <x v="9"/>
    <s v="14219178"/>
    <s v="1079697546"/>
    <s v="808743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6.791666666701"/>
    <m/>
    <m/>
    <s v="Credit Request"/>
    <s v="Resolved"/>
    <s v="Vicki Y Pleak"/>
    <s v="Vicki Y Pleak"/>
    <s v="Commercial"/>
    <s v="Schlage Residential Mechanical"/>
    <x v="4"/>
    <x v="10"/>
    <s v=""/>
    <s v="2026 / 02"/>
    <s v="Return / Replace / Scrap"/>
    <s v="Product"/>
  </r>
  <r>
    <x v="140"/>
    <s v="CAS6422954"/>
    <s v="Issue"/>
    <s v="Return / Replace / Scrap"/>
    <s v="Quantity"/>
    <m/>
    <m/>
    <s v="Schlage Residential"/>
    <s v="Lock"/>
    <x v="1"/>
    <x v="1"/>
    <s v="CREDIT FOR CONCEALED SHORTAGE_x000a__x000a_CREDIT OPEN BALANCE $421.90_x000a__x000a_PRODUCT AUTHORITY SHIPMENT_x000a__x000a_CARRIER : ABF"/>
    <x v="9"/>
    <s v="14218779"/>
    <s v="1079697526"/>
    <s v="808740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6.791666666701"/>
    <m/>
    <m/>
    <s v="Credit Request"/>
    <s v="Resolved"/>
    <s v="Vicki Y Pleak"/>
    <s v="Vicki Y Pleak"/>
    <s v="Commercial"/>
    <s v="Schlage Residential Mechanical"/>
    <x v="4"/>
    <x v="10"/>
    <s v=""/>
    <s v="2026 / 02"/>
    <s v="Return / Replace / Scrap"/>
    <s v="Product"/>
  </r>
  <r>
    <x v="141"/>
    <s v="CAS6422922"/>
    <s v="Issue"/>
    <s v="Return / Replace / Scrap"/>
    <s v="Quantity"/>
    <m/>
    <m/>
    <s v="Schlage Residential"/>
    <s v="Lock"/>
    <x v="1"/>
    <x v="1"/>
    <s v="CREDIT FOR CONCEALED SHORTAGE_x000a__x000a_CREDIT OPEN BALANCE : $950.17_x000a__x000a_IFC SHIPMENT_x000a__x000a_CARRIER : USA"/>
    <x v="9"/>
    <s v="SO03193967"/>
    <s v="1081849446"/>
    <s v="4561160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2.791666666701"/>
    <m/>
    <m/>
    <s v="Credit Request"/>
    <s v="Resolved"/>
    <s v="Vicki Y Pleak"/>
    <s v="Vicki Y Pleak"/>
    <s v="Commercial"/>
    <s v="Schlage Residential Mechanical"/>
    <x v="4"/>
    <x v="10"/>
    <s v=""/>
    <s v="2026 / 02"/>
    <s v="Return / Replace / Scrap"/>
    <s v="Product"/>
  </r>
  <r>
    <x v="142"/>
    <s v="CAS6422891"/>
    <s v="Issue"/>
    <s v="Return / Replace / Scrap"/>
    <s v="Quantity"/>
    <m/>
    <m/>
    <s v="Schlage Residential"/>
    <s v="Lock"/>
    <x v="1"/>
    <x v="1"/>
    <s v="CREDIT FOR CONCEALED SHORTAGE_x000a__x000a_CREDIT OPEN BALANCE : $353.54_x000a__x000a_IFC SHIPMENT_x000a__x000a_CARRIER : USA"/>
    <x v="9"/>
    <s v="SO03200828"/>
    <s v="1083753601"/>
    <s v="4562089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8.791666666701"/>
    <m/>
    <m/>
    <s v="Credit Request"/>
    <s v="Resolved"/>
    <s v="Vicki Y Pleak"/>
    <s v="Vicki Y Pleak"/>
    <s v="Commercial"/>
    <s v="Schlage Residential Mechanical"/>
    <x v="4"/>
    <x v="10"/>
    <s v=""/>
    <s v="2026 / 02"/>
    <s v="Return / Replace / Scrap"/>
    <s v="Product"/>
  </r>
  <r>
    <x v="143"/>
    <s v="CAS6422860"/>
    <s v="Issue"/>
    <s v="Return / Replace / Scrap"/>
    <s v="Quantity"/>
    <m/>
    <m/>
    <s v="Schlage Residential"/>
    <s v="Lock"/>
    <x v="1"/>
    <x v="1"/>
    <s v="CREDIT FOR CONCEALED SHORTAGE_x000a__x000a_CREDIT OPEN BALANCE : $655.25_x000a__x000a_IFC SHIPMENT_x000a__x000a_CARRIER : USA"/>
    <x v="9"/>
    <s v="SO03194137"/>
    <s v="1081849914"/>
    <s v="45613803"/>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3.791666666701"/>
    <m/>
    <m/>
    <s v="Credit Request"/>
    <s v="Resolved"/>
    <s v="Vicki Y Pleak"/>
    <s v="Vicki Y Pleak"/>
    <s v="Commercial"/>
    <s v="Schlage Residential Mechanical"/>
    <x v="4"/>
    <x v="10"/>
    <s v=""/>
    <s v="2026 / 02"/>
    <s v="Return / Replace / Scrap"/>
    <s v="Product"/>
  </r>
  <r>
    <x v="144"/>
    <s v="CAS6422820"/>
    <s v="Issue"/>
    <s v="Return / Replace / Scrap"/>
    <s v="Quantity"/>
    <m/>
    <m/>
    <s v="Schlage Residential"/>
    <s v="Lock"/>
    <x v="1"/>
    <x v="1"/>
    <s v="CREDIT FOR CONCEALED SHORTAGE_x000a__x000a_CREDIT OPEN BALANCE : $286.30_x000a__x000a_IFC SHIPMENT_x000a__x000a_CARRIER : USA"/>
    <x v="9"/>
    <s v="SO03188929"/>
    <s v="1080394279"/>
    <s v="4560578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5.791666666701"/>
    <m/>
    <m/>
    <s v="Credit Request"/>
    <s v="Resolved"/>
    <s v="Vicki Y Pleak"/>
    <s v="Vicki Y Pleak"/>
    <s v="Commercial"/>
    <s v="Schlage Residential Mechanical"/>
    <x v="4"/>
    <x v="10"/>
    <s v=""/>
    <s v="2026 / 02"/>
    <s v="Return / Replace / Scrap"/>
    <s v="Product"/>
  </r>
  <r>
    <x v="145"/>
    <s v="CAS6422792"/>
    <s v="Issue"/>
    <s v="Return / Replace / Scrap"/>
    <s v="Quantity"/>
    <m/>
    <m/>
    <s v="Schlage Residential"/>
    <s v="Lock"/>
    <x v="1"/>
    <x v="1"/>
    <s v="CREDIT FOR CONCEALED SHORTAGE_x000a__x000a_CREDIT OPEN BALANCE : $652.94_x000a__x000a_IFC SHIPMENT_x000a__x000a_CARRIER : USA"/>
    <x v="9"/>
    <s v="SO0318892"/>
    <s v="1080395607"/>
    <s v="4560551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5.791666666701"/>
    <m/>
    <m/>
    <s v="Credit Request"/>
    <s v="Resolved"/>
    <s v="Vicki Y Pleak"/>
    <s v="Vicki Y Pleak"/>
    <s v="Commercial"/>
    <s v="Schlage Residential Mechanical"/>
    <x v="4"/>
    <x v="10"/>
    <s v=""/>
    <s v="2026 / 02"/>
    <s v="Return / Replace / Scrap"/>
    <s v="Product"/>
  </r>
  <r>
    <x v="146"/>
    <s v="CAS6422738"/>
    <s v="Issue"/>
    <s v="Return / Replace / Scrap"/>
    <s v="Quantity"/>
    <m/>
    <m/>
    <s v="Schlage Residential"/>
    <s v="Lock"/>
    <x v="1"/>
    <x v="1"/>
    <s v="CREDIT FOR CONCEALED SHORTAGE_x000a__x000a_CREDIT OPEN BALANCE : $209.67_x000a__x000a_IFC SHIPMENT_x000a__x000a_CARRIER : USA"/>
    <x v="9"/>
    <s v="SO03184162"/>
    <s v="1079340984"/>
    <s v="4560158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1.791666666701"/>
    <m/>
    <m/>
    <s v="Credit Request"/>
    <s v="Resolved"/>
    <s v="Vicki Y Pleak"/>
    <s v="Vicki Y Pleak"/>
    <s v="Commercial"/>
    <s v="Schlage Residential Mechanical"/>
    <x v="4"/>
    <x v="10"/>
    <s v=""/>
    <s v="2026 / 02"/>
    <s v="Return / Replace / Scrap"/>
    <s v="Product"/>
  </r>
  <r>
    <x v="147"/>
    <s v="CAS6437914"/>
    <s v="Issue"/>
    <s v="Return / Replace / Scrap"/>
    <s v="Quantity"/>
    <m/>
    <m/>
    <s v="Schlage Residential"/>
    <s v="Lock"/>
    <x v="1"/>
    <x v="1"/>
    <s v="CREDIT FOR CONCEALED SHORTAGE_x000a__x000a_CREDIT OPEN BALANCE $433.47_x000a__x000a_PRODUCT AUTHORITY SHIPMENT_x000a__x000a_CARRIER :  Estes_x000a__x000a_ORG PAYMENT 2000561516 8.22.25 - SHORTAGE $5314.87 - SUBMITTED THRU TWO DENIAL PROCESS._x000a_Settlement agreement submitted by Maria - re-payment processed for $4,814.96 -  CK#2000037786 2.13.26_x000a__x000a_Credit to clear off the open balance $433.47"/>
    <x v="9"/>
    <s v="14100300"/>
    <s v="1024537063"/>
    <s v="7901146"/>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811.833333333299"/>
    <m/>
    <m/>
    <s v="Credit Request"/>
    <s v="Resolved"/>
    <s v="Vicki Y Pleak"/>
    <s v="Vicki Y Pleak"/>
    <s v="Commercial"/>
    <s v="Schlage Residential Mechanical"/>
    <x v="4"/>
    <x v="10"/>
    <s v=""/>
    <s v="2026 / 02"/>
    <s v="Return / Replace / Scrap"/>
    <s v="Product"/>
  </r>
  <r>
    <x v="148"/>
    <s v="CAS6442448"/>
    <s v="Issue"/>
    <s v="Return / Replace / Scrap"/>
    <s v="Incorrect/Missing Product"/>
    <m/>
    <m/>
    <s v="Schlage Residential"/>
    <s v="Lock"/>
    <x v="1"/>
    <x v="0"/>
    <s v="NC REPLACE-SHORT SHIPMENT_x000a_PO 068124_x000a_LINE 1-QTY 16--LOCK.F59.PLY.622.12-322.10-115.134_x000a__x000a_ Sales Order Acknowledgement  - SO Order# 14238514  - Your PO# 068124"/>
    <x v="51"/>
    <s v="14238514"/>
    <s v="068124"/>
    <s v="8131771"/>
    <n v="1"/>
    <s v="Schlage Residential"/>
    <s v="Lock"/>
    <s v="F Handleset"/>
    <s v="Ensenada"/>
    <n v="16"/>
    <s v="0213082~Allegion no envió un producto/pieza|1040~(Alle) Spedito Articolo/Componente mancante|1036~Allegion a envoyé un produit ou une pièce manquante|1033~Allegion Sent Missing Product / Part"/>
    <s v="9741040~Prodotto Mancante|1033~Missing Product|1036~Produit manquant"/>
    <m/>
    <s v="Product"/>
    <m/>
    <s v="043156227563"/>
    <m/>
    <m/>
    <m/>
    <n v="46035.791666666701"/>
    <m/>
    <m/>
    <s v="Replace Only"/>
    <s v="Resolved"/>
    <s v="Jessica Cook"/>
    <s v="Jessica Cook"/>
    <s v="Residential - Channel"/>
    <s v="Schlage Residential Mechanical"/>
    <x v="9"/>
    <x v="11"/>
    <s v=""/>
    <s v="2026 / 02"/>
    <s v="Return / Replace / Scrap"/>
    <s v="Product"/>
  </r>
  <r>
    <x v="149"/>
    <s v="CAS6422654"/>
    <s v="Issue"/>
    <s v="Return / Replace / Scrap"/>
    <s v="Incorrect/Missing Product"/>
    <m/>
    <m/>
    <s v="Schlage Residential"/>
    <s v="Lock"/>
    <x v="3"/>
    <x v="0"/>
    <s v="REPLACE_x000a_LINE 3_x000a_QTY 5_x000a_LOCK.BE365.CAM.619.12-321.10-116.134.KD.C.48-180.1_x000a_GRAND PRAIRIE_939743_x000a__x000a_Missing from order_x000a__x000a_Selected primary Product Type: Accessories_x000a_Do you also need to update the Ship To Address on your order?: No_x000a_The original ship-to address is saved on the shipping tab._x000a_Email: ashley.grant@bannersolutions.com_x000a_Phone Number: 8883620750_x000a_Preferred Contact Method: Email"/>
    <x v="28"/>
    <s v="14252298"/>
    <s v="6376445"/>
    <s v="8138667"/>
    <n v="3"/>
    <s v="Schlage Residential"/>
    <s v="Lock"/>
    <s v="B"/>
    <s v="Ensenada"/>
    <n v="5"/>
    <s v="0213082~Allegion no envió un producto/pieza|1040~(Alle) Spedito Articolo/Componente mancante|1036~Allegion a envoyé un produit ou une pièce manquante|1033~Allegion Sent Missing Product / Part"/>
    <s v="9741040~Prodotto Mancante|1033~Missing Product|1036~Produit manquant"/>
    <m/>
    <s v="Product"/>
    <m/>
    <s v="043156306992"/>
    <m/>
    <m/>
    <m/>
    <n v="46043.791666666701"/>
    <m/>
    <m/>
    <s v="Replace Only"/>
    <s v="Resolved"/>
    <s v="Portal Cases"/>
    <s v="Jeff Livingston"/>
    <s v="Commercial"/>
    <s v="Schlage Residential Mechanical"/>
    <x v="9"/>
    <x v="11"/>
    <s v=""/>
    <s v="2026 / 02"/>
    <s v="Return / Replace / Scrap"/>
    <s v="Product"/>
  </r>
  <r>
    <x v="150"/>
    <s v="CAS6444364"/>
    <s v="Issue"/>
    <s v="Credit / Debit Request"/>
    <s v="Pricing Adjustment"/>
    <m/>
    <m/>
    <s v="Schlage Residential"/>
    <s v="Lock"/>
    <x v="1"/>
    <x v="0"/>
    <s v="SHORT SHIP OCQ0528424640/22 BOL DOCS RECEIVED BUT ACE DENIED REPAYMENT IN THE AMOUNT $298.40._x000a_ ACE SHORT SHIP ON INV 8097588.  CREDIT AMOUNT $298.40._x000a__x000a__x000a_DEDUCTION TAKEN ON DM# 490676  $298.40."/>
    <x v="6"/>
    <s v="14223355"/>
    <s v="UVSNT"/>
    <s v="8097588"/>
    <m/>
    <s v="Schlage Residential"/>
    <s v="Lock"/>
    <s v="F Handleset"/>
    <s v="Ensenada"/>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s v="Customer"/>
    <m/>
    <m/>
    <m/>
    <m/>
    <m/>
    <n v="45993.791666666701"/>
    <m/>
    <m/>
    <s v="Credit Request"/>
    <s v="Resolved"/>
    <s v="Pamela Franklin"/>
    <s v="Pamela Franklin"/>
    <s v="Residential - Channel"/>
    <s v="Schlage Residential Mechanical"/>
    <x v="1"/>
    <x v="7"/>
    <s v=""/>
    <s v="2026 / 02"/>
    <s v="Credit / Debit Request"/>
    <s v="Customer"/>
  </r>
  <r>
    <x v="151"/>
    <s v="CAS6443557"/>
    <s v="Issue"/>
    <s v="Return / Replace / Scrap"/>
    <s v="Shipping"/>
    <m/>
    <m/>
    <s v="Schlage Residential"/>
    <s v="Lock"/>
    <x v="1"/>
    <x v="0"/>
    <s v="DAMAGED IN TRANSIT, NC REPLACEMENT FROM PO 730003_x000a__x000a_LINE 14-QTY 2--LOCK.CS210-B60.P.D.ACC.619.PLY.LH.12-339.10-121.134.KD.C.48-100.2_x000a_LINE 15-QTY 2--LOCK.CS210-B60.P.D.ACC.643e.PLY.LH.12-339.10-121.134.KD.C.48-100.2_x000a_---------------_x000a__x000a_Its two of the CS210-ACC-619-PLY, and two of the CS210-ACC-643E-PLY.  Case # cas6443557_x000a_*******************_x000a__x000a_GETTING CLARIFICATION FROM CUSTOMER ON WHAT NEEDS TO BE REPLACED, AS PICTURES AREN'T SHOWING FUNCTION_x000a_--------------------_x000a_We received these interconnect locks the other day, and I opened one up and found that the finish is smudged on the lever. So, I inspected all of them and found two satin nickel with smudged levers, and two in ORB that have flea bites in the finish"/>
    <x v="52"/>
    <s v="14265399"/>
    <s v="730003#1"/>
    <s v="8160997"/>
    <n v="15"/>
    <s v="Schlage Residential"/>
    <s v="Lock"/>
    <s v="B"/>
    <s v="Ensenada"/>
    <n v="2"/>
    <s v="0223082~Dañado en el Transporte|1040~Danneggiato Durante il Trasporto|1033~Damaged in Transit|1036~Endommagé pendant le transport"/>
    <s v="0471040~Danneggiato Durante il Trasporto|3082~Dañado en el transporte|1033~Damaged in Transit|1036~Endommagé pendant le transport"/>
    <m/>
    <s v="Carrier"/>
    <m/>
    <s v="CS2-SLLK*11334720"/>
    <m/>
    <m/>
    <m/>
    <n v="46065.791666666701"/>
    <m/>
    <m/>
    <s v="Replace Only"/>
    <s v="Resolved"/>
    <s v="Jessica Cook"/>
    <s v="Jessica Cook"/>
    <s v="Commercial"/>
    <s v="Schlage Residential Mechanical"/>
    <x v="13"/>
    <x v="15"/>
    <s v=""/>
    <s v="2026 / 02"/>
    <s v="Return / Replace / Scrap"/>
    <s v="Product"/>
  </r>
  <r>
    <x v="151"/>
    <s v="CAS6443557"/>
    <s v="Issue"/>
    <s v="Return / Replace / Scrap"/>
    <s v="Shipping"/>
    <m/>
    <m/>
    <s v="Schlage Residential"/>
    <s v="Lock"/>
    <x v="1"/>
    <x v="0"/>
    <s v="DAMAGED IN TRANSIT, NC REPLACEMENT FROM PO 730003_x000a__x000a_LINE 14-QTY 2--LOCK.CS210-B60.P.D.ACC.619.PLY.LH.12-339.10-121.134.KD.C.48-100.2_x000a_LINE 15-QTY 2--LOCK.CS210-B60.P.D.ACC.643e.PLY.LH.12-339.10-121.134.KD.C.48-100.2_x000a_---------------_x000a__x000a_Its two of the CS210-ACC-619-PLY, and two of the CS210-ACC-643E-PLY.  Case # cas6443557_x000a_*******************_x000a__x000a_GETTING CLARIFICATION FROM CUSTOMER ON WHAT NEEDS TO BE REPLACED, AS PICTURES AREN'T SHOWING FUNCTION_x000a_--------------------_x000a_We received these interconnect locks the other day, and I opened one up and found that the finish is smudged on the lever. So, I inspected all of them and found two satin nickel with smudged levers, and two in ORB that have flea bites in the finish"/>
    <x v="52"/>
    <s v="14265399"/>
    <s v="730003#1"/>
    <s v="8160997"/>
    <n v="14"/>
    <s v="Schlage Residential"/>
    <s v="Lock"/>
    <s v="B"/>
    <s v="Ensenada"/>
    <n v="2"/>
    <s v="0223082~Dañado en el Transporte|1040~Danneggiato Durante il Trasporto|1033~Damaged in Transit|1036~Endommagé pendant le transport"/>
    <s v="0471040~Danneggiato Durante il Trasporto|3082~Dañado en el transporte|1033~Damaged in Transit|1036~Endommagé pendant le transport"/>
    <m/>
    <s v="Carrier"/>
    <m/>
    <s v="CS2-SLLK*7425252"/>
    <m/>
    <m/>
    <m/>
    <n v="46065.791666666701"/>
    <m/>
    <m/>
    <s v="Replace Only"/>
    <s v="Resolved"/>
    <s v="Jessica Cook"/>
    <s v="Jessica Cook"/>
    <s v="Commercial"/>
    <s v="Schlage Residential Mechanical"/>
    <x v="13"/>
    <x v="15"/>
    <s v=""/>
    <s v="2026 / 02"/>
    <s v="Return / Replace / Scrap"/>
    <s v="Product"/>
  </r>
  <r>
    <x v="152"/>
    <s v="CAS6428508"/>
    <s v="Issue"/>
    <s v="Return / Replace / Scrap"/>
    <s v="Defective Product"/>
    <m/>
    <s v="Reliability"/>
    <s v="Schlage Residential"/>
    <s v="Lock"/>
    <x v="2"/>
    <x v="0"/>
    <s v="NCR OF STRIKE 10-027 619, QTY 1_x000a_ELKRIDGE_70455_x000a_------------------------------------------------------------_x000a_Is there visible damage to exterior of shipping cartons?: no_x000a_Is there anything else we should know about your request?: Please provide a replacement strike, the one installed has rust spots.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carrie.francis@udhgroup.com_x000a_Phone Number: (540) 649-5805_x000a_Preferred Contact Method: Email"/>
    <x v="53"/>
    <s v="13891893"/>
    <s v="MD6590-093C"/>
    <s v="7564935"/>
    <m/>
    <m/>
    <m/>
    <m/>
    <m/>
    <n v="1"/>
    <s v="0491040~Imballaggio|1033~Insufficient Packaging|1036~Emballage|3082~Embalaje"/>
    <s v="1111040~Imballaggio|3082~Embalaje|1033~Insufficient Packaging|1036~Emballage"/>
    <m/>
    <s v="Shipping"/>
    <m/>
    <s v="043156184668"/>
    <m/>
    <m/>
    <m/>
    <n v="45503.833333333299"/>
    <m/>
    <m/>
    <m/>
    <s v="Resolved"/>
    <s v="Portal Cases"/>
    <s v="Janelta Crawford"/>
    <s v="Residential - Channel"/>
    <s v="Schlage Residential Mechanical"/>
    <x v="17"/>
    <x v="25"/>
    <s v=""/>
    <s v="2026 / 02"/>
    <s v="Return / Replace / Scrap"/>
    <s v="Product"/>
  </r>
  <r>
    <x v="153"/>
    <s v="CAS6423870"/>
    <s v="Issue"/>
    <s v="Return / Replace / Scrap"/>
    <s v="Incorrect/Missing Product"/>
    <m/>
    <m/>
    <s v="Schlage Residential"/>
    <s v="Lock"/>
    <x v="2"/>
    <x v="0"/>
    <s v="NC RPL- WRONG PROUCT RECEIVED _x000a_043156479122_x000a_LINE 4- LOCK.F40.LAT.622.16-080.10-027.134 QTY 9 _x000a_SHIP TO: 41588_x000a_41588 EASTMAN DR #B_x000a_MURRIETA, CA, 92562, US_x000a_--------------------------------------------------------------------------------_x000a_For this order, we received (9) more F10 LAT 622 than we ordered and are short (9) F40 LAT 622 privacy locks. Can you please send out the correct privacy locks and let me know what to do with the overage of passages?"/>
    <x v="54"/>
    <s v="14253037"/>
    <s v="ELM-P09-001"/>
    <s v="8148738"/>
    <n v="4"/>
    <s v="Schlage Residential"/>
    <s v="Lock"/>
    <s v="F Knob/Lever"/>
    <s v="Ensenada"/>
    <n v="9"/>
    <s v="0281033~Allegion Sent Incorrect Product / Part"/>
    <s v="9721033~Incorrect Product|1036~Produit incorrect|1040~Prodotto errato"/>
    <m/>
    <s v="Product"/>
    <m/>
    <s v="043156479122"/>
    <m/>
    <m/>
    <m/>
    <n v="46051.791666666701"/>
    <m/>
    <m/>
    <s v="Replace Only"/>
    <s v="Resolved"/>
    <s v="Erika Harris"/>
    <s v="Erika Harris"/>
    <s v="Residential - Channel"/>
    <s v="Schlage Residential Mechanical"/>
    <x v="7"/>
    <x v="8"/>
    <s v=""/>
    <s v="2026 / 02"/>
    <s v="Return / Replace / Scrap"/>
    <s v="Product"/>
  </r>
  <r>
    <x v="154"/>
    <s v="CAS6416804"/>
    <s v="Issue"/>
    <s v="Credit / Debit Request"/>
    <s v="Pricing Adjustment"/>
    <m/>
    <m/>
    <s v="Schlage Residential"/>
    <s v="Lock"/>
    <x v="1"/>
    <x v="0"/>
    <s v="CREDIT NEEDED FOR QUOTE NOT BEING APPLIED IN TIME BEFORE ORDER WAS INVOICED AND SHIPPED_x000a_PO included &quot;Trinity&quot;, but did not include the quote number 1431973 so it was missed._x000a_CREDIT NEEDED:_x000a__x000a_ENS-INVOICE 8149971_x000a_LINE 2-QTY 1--NEW PRICE $40.32    ($13.68 CREDIT)_x000a_LINE 3-QTY 5--NEW PRICE $323.40 ($109.70 CREDIT)_x000a__x000a__x000a__x000a_APPLY QUOTE 1431973 TO PO 666223, &quot;TRINITY&quot; WAS LISTED ON THE ORIGINAL PO BUT THERE WAS NO QUOTE NUMBER WITH IT_x000a_72% discount for PO 666223_x000a_line 1-qty 10--LOCK.J170.STR.619.134_x000a_line 2-qty 1--LOCK.F59.ACC.625.RH.12-322.10-115.134_x000a_line 3-qty 5--LOCK.F58.PLY.625.134.KD.C.48-180.2_x000a_*************_x000a_CUSTOMER IS NEEDING &quot;TRINITY PCR&quot; ADDED TO SOA FOR PRICING--waiting for specific quote number from customer to make the changes needed for pricing_x000a_------------_x000a_SOA AND INVOICE PROVIDED TO CUSTOMER_x000a_********_x000a_Good Morning,_x000a__x000a_I have not received an order confirmation for this order sent on 1/23, may I please get a copy"/>
    <x v="18"/>
    <s v="14256679"/>
    <s v="666223"/>
    <s v="8149971"/>
    <n v="3"/>
    <s v="Schlage Residential"/>
    <s v="Lock"/>
    <s v="F Handleset"/>
    <s v="Ensenada"/>
    <n v="5"/>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s v="Customer"/>
    <m/>
    <s v="043156164349"/>
    <m/>
    <m/>
    <m/>
    <n v="46055.791666666701"/>
    <m/>
    <m/>
    <s v="Credit Request"/>
    <s v="Resolved"/>
    <s v="Jessica Cook"/>
    <s v="Jessica Cook"/>
    <s v="Residential - Channel"/>
    <s v="Schlage Residential Mechanical"/>
    <x v="1"/>
    <x v="7"/>
    <s v=""/>
    <s v="2026 / 02"/>
    <s v="Credit / Debit Request"/>
    <s v="Customer"/>
  </r>
  <r>
    <x v="154"/>
    <s v="CAS6416804"/>
    <s v="Issue"/>
    <s v="Credit / Debit Request"/>
    <s v="Pricing Adjustment"/>
    <m/>
    <m/>
    <s v="Schlage Residential"/>
    <s v="Lock"/>
    <x v="1"/>
    <x v="0"/>
    <s v="CREDIT NEEDED FOR QUOTE NOT BEING APPLIED IN TIME BEFORE ORDER WAS INVOICED AND SHIPPED_x000a_PO included &quot;Trinity&quot;, but did not include the quote number 1431973 so it was missed._x000a_CREDIT NEEDED:_x000a__x000a_ENS-INVOICE 8149971_x000a_LINE 2-QTY 1--NEW PRICE $40.32    ($13.68 CREDIT)_x000a_LINE 3-QTY 5--NEW PRICE $323.40 ($109.70 CREDIT)_x000a__x000a__x000a__x000a_APPLY QUOTE 1431973 TO PO 666223, &quot;TRINITY&quot; WAS LISTED ON THE ORIGINAL PO BUT THERE WAS NO QUOTE NUMBER WITH IT_x000a_72% discount for PO 666223_x000a_line 1-qty 10--LOCK.J170.STR.619.134_x000a_line 2-qty 1--LOCK.F59.ACC.625.RH.12-322.10-115.134_x000a_line 3-qty 5--LOCK.F58.PLY.625.134.KD.C.48-180.2_x000a_*************_x000a_CUSTOMER IS NEEDING &quot;TRINITY PCR&quot; ADDED TO SOA FOR PRICING--waiting for specific quote number from customer to make the changes needed for pricing_x000a_------------_x000a_SOA AND INVOICE PROVIDED TO CUSTOMER_x000a_********_x000a_Good Morning,_x000a__x000a_I have not received an order confirmation for this order sent on 1/23, may I please get a copy"/>
    <x v="18"/>
    <s v="14256679"/>
    <s v="666223"/>
    <s v="8149971"/>
    <n v="2"/>
    <s v="Schlage Residential"/>
    <s v="Lock"/>
    <s v="F Handleset"/>
    <s v="Ensenada"/>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s v="Customer"/>
    <m/>
    <s v="043156229116"/>
    <m/>
    <m/>
    <m/>
    <n v="46055.791666666701"/>
    <m/>
    <m/>
    <s v="Credit Request"/>
    <s v="Resolved"/>
    <s v="Jessica Cook"/>
    <s v="Jessica Cook"/>
    <s v="Residential - Channel"/>
    <s v="Schlage Residential Mechanical"/>
    <x v="1"/>
    <x v="7"/>
    <s v=""/>
    <s v="2026 / 02"/>
    <s v="Credit / Debit Request"/>
    <s v="Customer"/>
  </r>
  <r>
    <x v="155"/>
    <s v="CAS6406225"/>
    <s v="Issue"/>
    <s v="Return / Replace / Scrap"/>
    <s v="Incorrect/Missing Product"/>
    <m/>
    <m/>
    <s v="Schlage Residential"/>
    <s v="Lock"/>
    <x v="3"/>
    <x v="0"/>
    <s v="RPL ORDER #  14264077_x000a_DONE 02/05/26 CC_x000a_REPLACE_x000a_LINE 1_x000a_(QTY 326) B81.622.12-321.10-116.134_x000a_043156283040_x000a__x000a_**QC HOLD EMAIL SENT ***_x000a__x000a_Material out on site. missing all 326 cover plates in boxes."/>
    <x v="55"/>
    <s v="14242442"/>
    <s v="147093"/>
    <s v="8122971"/>
    <n v="1"/>
    <s v="Schlage Residential"/>
    <s v="Lock"/>
    <s v="B"/>
    <s v="Ensenada"/>
    <n v="326"/>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s v="Product"/>
    <m/>
    <s v="043156283040"/>
    <s v="B81"/>
    <m/>
    <m/>
    <n v="46027.791666666701"/>
    <m/>
    <m/>
    <s v="Replace Only"/>
    <s v="Resolved"/>
    <s v="Portal Cases"/>
    <s v="Portal Cases"/>
    <s v="Commercial"/>
    <s v="Schlage Residential Mechanical"/>
    <x v="9"/>
    <x v="16"/>
    <s v=""/>
    <s v="2026 / 02"/>
    <s v="Return / Replace / Scrap"/>
    <s v="Product"/>
  </r>
  <r>
    <x v="156"/>
    <s v="CAS6454712"/>
    <s v="Issue"/>
    <s v="Return / Replace / Scrap"/>
    <s v="Incorrect/Missing Product"/>
    <m/>
    <m/>
    <s v="Schlage Residential"/>
    <s v="Lock"/>
    <x v="2"/>
    <x v="0"/>
    <s v="NCR | SHORT SHIPPED_x000a_LINE 4, QTY 2: LOCK.F40.ACC.619.16-210.10-063.134_x000a_043156404117_x000a_Rialto_1203_x000a__x000a_-------------------------------------------------_x000a_Is there anything else we should know about your request?: We ordered qty 50 and only received qty 48. please advise if the balance will be shipped._x000a_Selected primary Product Type: Mechanical Locks_x000a_Do you also need to update the Ship To Address on your order?: No_x000a_The original ship-to address is saved on the shipping tab._x000a_One or more files were provided by the customer and saved in the timeline._x000a_Email: blane@jeldwen.com_x000a_Phone Number: (704) 860-5461_x000a_Preferred Contact Method: Email"/>
    <x v="56"/>
    <s v="14268839"/>
    <s v="959122"/>
    <s v="8165433"/>
    <m/>
    <m/>
    <m/>
    <m/>
    <m/>
    <n v="2"/>
    <m/>
    <m/>
    <m/>
    <m/>
    <m/>
    <s v="043156404117"/>
    <m/>
    <m/>
    <m/>
    <n v="46068.791666666701"/>
    <m/>
    <m/>
    <m/>
    <s v="Resolved"/>
    <s v="Portal Cases"/>
    <s v="Janelta Crawford"/>
    <s v="Residential - Channel"/>
    <s v="Schlage Residential Mechanical"/>
    <x v="8"/>
    <x v="9"/>
    <s v=""/>
    <s v="2026 / 02"/>
    <s v="Return / Replace / Scrap"/>
    <s v="Customer Care"/>
  </r>
  <r>
    <x v="157"/>
    <s v="CAS6406988"/>
    <s v="Issue"/>
    <s v="Credit / Debit Request"/>
    <s v="Pricing Adjustment"/>
    <m/>
    <m/>
    <s v="Schlage Residential"/>
    <s v="Lock"/>
    <x v="2"/>
    <x v="1"/>
    <s v="Credit Internal Use Only/Do not send to Orgill for concealed shortage / Damage. _x000a_Customer  8123968DMQ_x000a_For line _x000a__x000a_Denied for line 1 on case CAS6406815_x000a__x000a_See attached request."/>
    <x v="30"/>
    <s v="14242945 - SO03226650"/>
    <s v="93782240"/>
    <s v="8123968"/>
    <n v="10"/>
    <s v="Schlage Residential"/>
    <s v="Lock"/>
    <s v="F Knob/Lever"/>
    <s v="Olathe"/>
    <n v="8"/>
    <s v="0531033~Quote / Product Error|1040~Errore Offerta / Prodotto|3082~Oferta / error producto|1036~Erreur de devis / produit"/>
    <s v="0171033~Broken Package|1040~Collo Rotto|3082~Embalaje roto|1036~Emballage cassé"/>
    <m/>
    <s v="Sales"/>
    <m/>
    <s v="043156936533 / 675-0269"/>
    <m/>
    <m/>
    <m/>
    <n v="46059.791666666701"/>
    <m/>
    <m/>
    <s v="Credit Request"/>
    <s v="Resolved"/>
    <s v="Curt Moore"/>
    <s v="Curt Moore"/>
    <s v="Residential - Channel"/>
    <s v="Schlage Residential Mechanical"/>
    <x v="5"/>
    <x v="5"/>
    <s v=""/>
    <s v="2026 / 02"/>
    <s v="Credit / Debit Request"/>
    <s v="Customer Care"/>
  </r>
  <r>
    <x v="158"/>
    <s v="CAS6406815"/>
    <s v="Issue"/>
    <s v="Credit / Debit Request"/>
    <s v="Pricing Adjustment"/>
    <m/>
    <m/>
    <s v="Schlage Residential"/>
    <s v="Lock"/>
    <x v="1"/>
    <x v="0"/>
    <s v="Denied Credit Internal Use Only/Do not send to Orgill for concealed shortage / Damage._x000a_Customer  8123968DMQ_x000a_Line #1 - 2 of the BE469ZP V CAM / 043156035502 / 741-9153_x000a_See POD attached._x000a__x000a_Approved for line # 10 for 8 of the 40-251 lathes.  (Credit case CAS6406988)_x000a__x000a_The rest of the order shipped 1-7-26 ABF Freight 007086433 and delivered 1-19-26._x000a_See attached request."/>
    <x v="30"/>
    <s v="14242945 - SO03226650"/>
    <s v="93782240"/>
    <s v="8123968"/>
    <n v="1"/>
    <s v="Schlage Residential"/>
    <s v="Lock"/>
    <s v="Connect"/>
    <s v="Olathe"/>
    <n v="2"/>
    <s v="0531033~Quote / Product Error|1040~Errore Offerta / Prodotto|3082~Oferta / error producto|1036~Erreur de devis / produit"/>
    <s v="0171033~Broken Package|1040~Collo Rotto|3082~Embalaje roto|1036~Emballage cassé"/>
    <m/>
    <s v="Sales"/>
    <m/>
    <s v="043156035502 / 741-9153"/>
    <m/>
    <m/>
    <m/>
    <n v="46059.791666666701"/>
    <m/>
    <m/>
    <s v="Credit Request"/>
    <s v="Resolved"/>
    <s v="Curt Moore"/>
    <s v="Curt Moore"/>
    <s v="Residential - Channel"/>
    <s v="Schlage Residential Mechanical"/>
    <x v="5"/>
    <x v="5"/>
    <s v=""/>
    <s v="2026 / 02"/>
    <s v="Credit / Debit Request"/>
    <s v="Customer Care"/>
  </r>
  <r>
    <x v="159"/>
    <s v="CAS6406641"/>
    <s v="Issue"/>
    <s v="Credit / Debit Request"/>
    <s v="Pricing Adjustment"/>
    <m/>
    <m/>
    <s v="Schlage Residential"/>
    <s v="Lock"/>
    <x v="2"/>
    <x v="1"/>
    <s v="Denied Credit Internal Use Only/Do not send to Orgill for concealed shortage / Damage._x000a_Customer  8132169DMQ_x000a_Line #2 the 8 - FB50N V BEL 605 shipped 1-14-26 UPS and delivered 1-20-26_x000a_See POD attached._x000a__x000a_The rest of the order shipped 1-14-26 UPS and delivered 1-20-26_x000a__x000a_See attached request."/>
    <x v="30"/>
    <s v="14245896 - SO03231792"/>
    <s v="93784887"/>
    <s v="8132169"/>
    <n v="2"/>
    <s v="Schlage Residential"/>
    <s v="Lock"/>
    <s v="F Knob/Lever"/>
    <s v="Olathe"/>
    <n v="8"/>
    <s v="0531033~Quote / Product Error|1040~Errore Offerta / Prodotto|3082~Oferta / error producto|1036~Erreur de devis / produit"/>
    <s v="0171033~Broken Package|1040~Collo Rotto|3082~Embalaje roto|1036~Emballage cassé"/>
    <m/>
    <s v="Sales"/>
    <m/>
    <s v="043156171354 / 301-9742"/>
    <m/>
    <m/>
    <m/>
    <n v="46066.791666666701"/>
    <m/>
    <m/>
    <s v="Credit Request"/>
    <s v="Resolved"/>
    <s v="Curt Moore"/>
    <s v="Curt Moore"/>
    <s v="Residential - Channel"/>
    <s v="Schlage Residential Mechanical"/>
    <x v="5"/>
    <x v="5"/>
    <s v=""/>
    <s v="2026 / 02"/>
    <s v="Credit / Debit Request"/>
    <s v="Customer Care"/>
  </r>
  <r>
    <x v="160"/>
    <s v="CAS6434587"/>
    <s v="Issue"/>
    <s v="Credit / Debit Request"/>
    <s v="Pricing Adjustment"/>
    <m/>
    <m/>
    <s v="Schlage Residential"/>
    <s v="Lock"/>
    <x v="2"/>
    <x v="0"/>
    <s v="Short Pay Credit due to wrong Price book Order# 14268749-1 - PO# 105359 Quote 1375229 / Younger Bros. / 3000698_x000a__x000a_See PO, Invoice, and credit worksheet attached._x000a__x000a_Morning,_x000a_Please review pricing on this order I just got informed that pricing should be the same and quote got extended to the end of the year 2026. Pricing should be under “Price Book 13”"/>
    <x v="57"/>
    <s v="14268749"/>
    <s v="105359"/>
    <s v="8164811"/>
    <m/>
    <s v="Schlage Residential"/>
    <s v="Lock"/>
    <s v="F Knob/Lever"/>
    <s v="Ensenada"/>
    <n v="1"/>
    <s v="0531033~Quote / Product Error|1040~Errore Offerta / Prodotto|3082~Oferta / error producto|1036~Erreur de devis / produit"/>
    <s v="2751033~Quote Error|1036~Erreur de devis|1040~Errore di citazione|3082~Error de cita|1055~Alıntı Hatası"/>
    <m/>
    <s v="Sales"/>
    <m/>
    <m/>
    <m/>
    <m/>
    <m/>
    <n v="46067.791666666701"/>
    <m/>
    <m/>
    <s v="Credit Request"/>
    <s v="Resolved"/>
    <s v="Curt Moore"/>
    <s v="Curt Moore"/>
    <s v="Residential - Channel"/>
    <s v="Schlage Residential Mechanical"/>
    <x v="5"/>
    <x v="17"/>
    <s v=""/>
    <s v="2026 / 02"/>
    <s v="Credit / Debit Request"/>
    <s v="Customer Care"/>
  </r>
  <r>
    <x v="161"/>
    <s v="CAS6453559"/>
    <s v="Issue"/>
    <s v="Return / Replace / Scrap"/>
    <s v="Incorrect/Missing Product"/>
    <m/>
    <m/>
    <s v="Schlage Residential"/>
    <s v="Lock"/>
    <x v="1"/>
    <x v="0"/>
    <s v="Hi Team,_x000a_I have received SRL13109 x60 instead of SRL13232 x 52. Please refer to the images below to see what we have received._x000a_Please send us the replacement via Fedex/Courier asap. Thanks._x000a__x000a_Line 6 / QTY - 52 / LOCK.F51A.PLY.626.16-211.10-063.134.KD.C.48-180.2_x000a__x000a_Hello Earnest._x000a_I want to make sure I understand what is needed before I replace anything.  You ordered 52 ea of this item:_x000a_043156399758 / LOCK.F51A.PLY.626.16-211.10-063.134.KD.C.48-180.2   (They are not available in Visual Pack so what was entered was box pack._x000a_Is this what we are replacing?_x000a_Please confirm._x000a__x000a_043156399758 / LOCK.F51A.PLY.626.16-211.10-063.134.KD.C.48-180.2   52 ea confirmed for replacements._x000a_lcarl"/>
    <x v="58"/>
    <s v="14240450"/>
    <s v="P154188"/>
    <m/>
    <n v="6"/>
    <s v="Schlage Residential"/>
    <s v="Lock"/>
    <s v="F Handleset"/>
    <s v="Ensenada"/>
    <n v="52"/>
    <s v="0281033~Allegion Sent Incorrect Product / Part"/>
    <s v="9721033~Incorrect Product|1036~Produit incorrect|1040~Prodotto errato"/>
    <m/>
    <s v="Product"/>
    <m/>
    <s v="043156399758"/>
    <m/>
    <m/>
    <m/>
    <n v="46043.791666666701"/>
    <m/>
    <m/>
    <s v="Replace Only"/>
    <s v="Resolved"/>
    <s v="Lonnie Carl"/>
    <s v="Lonnie Carl"/>
    <s v="International"/>
    <s v="Schlage Residential Mechanical"/>
    <x v="7"/>
    <x v="8"/>
    <s v=""/>
    <s v="2026 / 02"/>
    <s v="Return / Replace / Scrap"/>
    <s v="Product"/>
  </r>
  <r>
    <x v="162"/>
    <s v="CAS6444353"/>
    <s v="Issue"/>
    <s v="Credit / Debit Request"/>
    <s v="Pricing Adjustment"/>
    <m/>
    <m/>
    <s v="Schlage Residential"/>
    <s v="Lock"/>
    <x v="1"/>
    <x v="0"/>
    <s v="SHORT SHIP OCQ0527834141/38 BOL DOCS RECEIVED BUT ACE DENIED REPAYMENT IN THE AMOUNT $913.92._x000a_ ACE SHORT SHIP ON INV 8088325.  CREDIT AMOUNT $913.92._x000a__x000a__x000a_DEDUCTION TAKEN ON DM# 490565 $913.92."/>
    <x v="6"/>
    <s v="14216960"/>
    <s v="UVC81"/>
    <s v="8088325"/>
    <m/>
    <s v="Schlage Residential"/>
    <s v="Lock"/>
    <s v="F Handleset"/>
    <s v="Ensenada"/>
    <n v="1"/>
    <s v="0511033~Pricebook / ERP Mismatch|1040~Differenza Listino / ERP|3082~Diferencia tarifa de precios vs ERP|1036~Incohérence Tarif public/ERP"/>
    <s v="1181033~Pricebook Error|1040~Errore listino|3082~Error tarifa|1036~Erreur de tarif"/>
    <m/>
    <s v="Sales"/>
    <m/>
    <m/>
    <m/>
    <m/>
    <m/>
    <n v="45984.791666666701"/>
    <m/>
    <m/>
    <s v="Credit Request"/>
    <s v="Resolved"/>
    <s v="Pamela Franklin"/>
    <s v="Pamela Franklin"/>
    <s v="Residential - Channel"/>
    <s v="Schlage Residential Mechanical"/>
    <x v="16"/>
    <x v="26"/>
    <s v=""/>
    <s v="2026 / 02"/>
    <s v="Credit / Debit Request"/>
    <s v="Customer Care"/>
  </r>
  <r>
    <x v="163"/>
    <s v="CAS6421514"/>
    <s v="Issue"/>
    <s v="Return / Replace / Scrap"/>
    <s v="Quantity"/>
    <m/>
    <m/>
    <s v="Schlage Residential"/>
    <s v="Lock"/>
    <x v="2"/>
    <x v="0"/>
    <s v="SIF Credit- NC RPL was put in for full cost of product in error_x000a__x000a_LOCK.F170.LAT.622.134  QTY 2   14.25 + 1.85_x000a_043156479139_x000a__x000a_REDLANDS_838999_x000a_430 NEVADA ST_x000a_REDLANDS, CA, 92373"/>
    <x v="59"/>
    <s v="14257259"/>
    <s v="IE518545RPL"/>
    <s v="8145687"/>
    <m/>
    <s v="Schlage Residential"/>
    <s v="Lock"/>
    <s v="F Knob/Lever"/>
    <s v="Ensenada"/>
    <n v="2"/>
    <s v="0011033~Allegion Entered Incorrect Amount|1040~(Allegion) Inserito Quantità/Valore Errato|3082~(Allegion) Introducido importe erróneo|1036~Allegion a saisi un montant incorrect"/>
    <s v="2251033~Overage|1036~Excédent|1040~Troppo Vecchio|3082~Exceso|1055~Geçkin"/>
    <m/>
    <s v="Order Management"/>
    <m/>
    <s v="LOCK.F170.LAT.622.134"/>
    <m/>
    <m/>
    <m/>
    <n v="46049.791666666701"/>
    <m/>
    <m/>
    <s v="Credit Request"/>
    <s v="Resolved"/>
    <s v="Lucresia James"/>
    <s v="Lucresia James"/>
    <s v="Residential - Channel"/>
    <s v="Schlage Residential Mechanical"/>
    <x v="18"/>
    <x v="4"/>
    <s v=""/>
    <s v="2026 / 02"/>
    <s v="Return / Replace / Scrap"/>
    <s v="Customer Care"/>
  </r>
  <r>
    <x v="164"/>
    <s v="CAS6457291"/>
    <s v="Issue"/>
    <s v="Return / Replace / Scrap"/>
    <s v="Incorrect/Missing Product"/>
    <m/>
    <m/>
    <s v="Schlage Residential"/>
    <s v="Lock"/>
    <x v="2"/>
    <x v="1"/>
    <s v="NC RPL for concealed shortage / Schlage Res. Bldr. Hdwe. / Top Notch / 3001708_x000a_Line # 13 short 1 S3P1021F-RP-625 / 194555079762 / 7.49_x000a__x000a_Good Afternoon,_x000a_We are short item S3P1021FRP625 quantity of 1. May we please have a no charge replacement ?_x000a_Thank you!"/>
    <x v="2"/>
    <s v="14262850 - SO03260246"/>
    <s v="5298851"/>
    <s v="8175408"/>
    <n v="13"/>
    <s v="Ives / Gj Commercial"/>
    <s v="Accy"/>
    <s v="Rescue Hardware"/>
    <s v="Olathe"/>
    <n v="1"/>
    <s v="0213082~Allegion no envió un producto/pieza|1040~(Alle) Spedito Articolo/Componente mancante|1036~Allegion a envoyé un produit ou une pièce manquante|1033~Allegion Sent Missing Product / Part"/>
    <s v="9741040~Prodotto Mancante|1033~Missing Product|1036~Produit manquant"/>
    <m/>
    <s v="Product"/>
    <m/>
    <s v="194555079762"/>
    <m/>
    <m/>
    <m/>
    <n v="46077.041666666701"/>
    <m/>
    <m/>
    <s v="Replace Only"/>
    <s v="Resolved"/>
    <s v="Curt Moore"/>
    <s v="Curt Moore"/>
    <s v="Residential - Channel"/>
    <s v="Schlage Residential Mechanical"/>
    <x v="9"/>
    <x v="11"/>
    <s v=""/>
    <s v="2026 / 02"/>
    <s v="Return / Replace / Scrap"/>
    <s v="Product"/>
  </r>
  <r>
    <x v="165"/>
    <s v="CAS6427329"/>
    <s v="Issue"/>
    <s v="Return / Replace / Scrap"/>
    <s v="Defective Product"/>
    <m/>
    <s v="Out of Box"/>
    <s v="Schlage Residential"/>
    <s v="Lock"/>
    <x v="1"/>
    <x v="0"/>
    <s v="Please replace lines 2 and 5 as defectives._x000a_Line 2 / QTY 1 / LOCK.F93.PLY.609.GEO.134_x000a_Line 5 / QTY 2 / LOCK.F10.SIE.716.16-080.10-027.134_x000a__x000a_Enter credit when pricing in the RPL order.  02/12/26.  lcarl"/>
    <x v="60"/>
    <s v="14255126"/>
    <s v="PO-TH260004"/>
    <m/>
    <n v="5"/>
    <s v="Schlage Residential"/>
    <s v="Lock"/>
    <s v="F Handleset"/>
    <s v="Ensenada"/>
    <n v="2"/>
    <s v="0311033~Functional Mechanical|1040~Funzionamento Meccanico|3082~Función mecánica|1036~Functional Mechanical"/>
    <s v="0161033~Broken / Bad Parts|1040~Parti rotte / difettose|3082~Partes rotas / malas|1036~Pièces cassées / mauvaises"/>
    <m/>
    <s v="Product"/>
    <m/>
    <s v="043156886647"/>
    <s v="F93"/>
    <m/>
    <m/>
    <n v="46050.791666666701"/>
    <m/>
    <m/>
    <s v="Replace Only"/>
    <s v="Resolved"/>
    <s v="Lonnie Carl"/>
    <s v="Lonnie Carl"/>
    <s v="International"/>
    <s v="Schlage Residential Mechanical"/>
    <x v="0"/>
    <x v="0"/>
    <s v=""/>
    <s v="2026 / 02"/>
    <s v="Return / Replace / Scrap"/>
    <s v="Product"/>
  </r>
  <r>
    <x v="165"/>
    <s v="CAS6427329"/>
    <s v="Issue"/>
    <s v="Return / Replace / Scrap"/>
    <s v="Defective Product"/>
    <m/>
    <s v="Out of Box"/>
    <s v="Schlage Residential"/>
    <s v="Lock"/>
    <x v="1"/>
    <x v="0"/>
    <s v="Please replace lines 2 and 5 as defectives._x000a_Line 2 / QTY 1 / LOCK.F93.PLY.609.GEO.134_x000a_Line 5 / QTY 2 / LOCK.F10.SIE.716.16-080.10-027.134_x000a__x000a_Enter credit when pricing in the RPL order.  02/12/26.  lcarl"/>
    <x v="60"/>
    <s v="14255126"/>
    <s v="PO-TH260004"/>
    <m/>
    <n v="2"/>
    <s v="Schlage Residential"/>
    <s v="Lock"/>
    <s v="F Handleset"/>
    <s v="Ensenada"/>
    <n v="1"/>
    <s v="0311033~Functional Mechanical|1040~Funzionamento Meccanico|3082~Función mecánica|1036~Functional Mechanical"/>
    <s v="0161033~Broken / Bad Parts|1040~Parti rotte / difettose|3082~Partes rotas / malas|1036~Pièces cassées / mauvaises"/>
    <m/>
    <s v="Product"/>
    <m/>
    <s v="043156166756"/>
    <s v="F93"/>
    <m/>
    <m/>
    <n v="46050.791666666701"/>
    <m/>
    <m/>
    <s v="Replace Only"/>
    <s v="Resolved"/>
    <s v="Lonnie Carl"/>
    <s v="Lonnie Carl"/>
    <s v="International"/>
    <s v="Schlage Residential Mechanical"/>
    <x v="0"/>
    <x v="0"/>
    <s v=""/>
    <s v="2026 / 02"/>
    <s v="Return / Replace / Scrap"/>
    <s v="Product"/>
  </r>
  <r>
    <x v="166"/>
    <s v="CAS6443168"/>
    <s v="Issue"/>
    <s v="Return / Replace / Scrap"/>
    <s v="Incorrect/Missing Product"/>
    <m/>
    <m/>
    <s v="Schlage Residential"/>
    <s v="Lock"/>
    <x v="2"/>
    <x v="0"/>
    <s v="NCR | LABEL CREATED 1/30 WITH NO MOVEMENT_x000a_LINE 1, QTY 2: LOCK.F40.FLA.609.16-080.10-027.134_x000a__x000a_GRAND PRAIRIE_2902_x000a_ATTN: ASHLEY GRANT, 888-362-0750_x000a_--------------------------------------------------------_x000a_Is there anything else we should know about your request?: the tracking number is showing this hasnt delivered yet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x v="10"/>
    <s v="14259054"/>
    <s v="6374598RPL"/>
    <s v="8149041"/>
    <m/>
    <s v="Schlage Residential"/>
    <s v="Lock"/>
    <s v="F Knob/Lever"/>
    <s v="Ensenada"/>
    <n v="2"/>
    <s v="0411033~Lead Time / Availability|1040~Tempo di Consegna / Disponibilità|1036~Délai standard/Disponibilité|3082~Tiempo de Entrega / Disponibilidad"/>
    <s v="0863082~Tiempo de Entrega / Disponibilidad|1033~Lead Time / Availability|1040~Tempo di Consegna / Disponibilità|1036~Délai de livraison/Disponibilité"/>
    <m/>
    <s v="Scheduling"/>
    <m/>
    <s v="043156794799"/>
    <m/>
    <m/>
    <m/>
    <n v="46051.791666666701"/>
    <m/>
    <m/>
    <s v="Replace Only"/>
    <s v="Resolved"/>
    <s v="Portal Cases"/>
    <s v="Janelta Crawford"/>
    <s v="Residential - Channel"/>
    <s v="Schlage Residential Mechanical"/>
    <x v="19"/>
    <x v="27"/>
    <s v=""/>
    <s v="2026 / 02"/>
    <s v="Return / Replace / Scrap"/>
    <s v="Product"/>
  </r>
  <r>
    <x v="167"/>
    <s v="CAS6446311"/>
    <s v="Issue"/>
    <s v="Return / Replace / Scrap"/>
    <s v="Quantity"/>
    <m/>
    <m/>
    <s v="Schlage Residential"/>
    <s v="Lock"/>
    <x v="1"/>
    <x v="1"/>
    <s v="CREDIT FOR CONCEALED SHORTAGE_x000a__x000a_CREDIT OPEN BALANCE : $291.70_x000a__x000a_IFC SHIPMENT_x000a__x000a_CARRIER : USA"/>
    <x v="9"/>
    <s v="SO03208750"/>
    <s v="1085861250"/>
    <s v="4563083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5.791666666701"/>
    <m/>
    <m/>
    <s v="Credit Request"/>
    <s v="Resolved"/>
    <s v="Vicki Y Pleak"/>
    <s v="Vicki Y Pleak"/>
    <s v="Commercial"/>
    <s v="Schlage Residential Mechanical"/>
    <x v="4"/>
    <x v="10"/>
    <s v=""/>
    <s v="2026 / 02"/>
    <s v="Return / Replace / Scrap"/>
    <s v="Product"/>
  </r>
  <r>
    <x v="168"/>
    <s v="CAS6446279"/>
    <s v="Issue"/>
    <s v="Return / Replace / Scrap"/>
    <s v="Quantity"/>
    <m/>
    <m/>
    <s v="Schlage Residential"/>
    <s v="Lock"/>
    <x v="1"/>
    <x v="1"/>
    <s v="CREDIT FOR CONCEALED SHORTAGE_x000a__x000a_CREDIT OPEN BALANCE : $209.67_x000a__x000a_IFC SHIPMENT_x000a__x000a_CARRIER : USA"/>
    <x v="9"/>
    <s v="SO03207359"/>
    <s v="1085503484"/>
    <s v="4562932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2.791666666701"/>
    <m/>
    <m/>
    <s v="Credit Request"/>
    <s v="Resolved"/>
    <s v="Vicki Y Pleak"/>
    <s v="Vicki Y Pleak"/>
    <s v="Commercial"/>
    <s v="Schlage Residential Mechanical"/>
    <x v="4"/>
    <x v="10"/>
    <s v=""/>
    <s v="2026 / 02"/>
    <s v="Return / Replace / Scrap"/>
    <s v="Product"/>
  </r>
  <r>
    <x v="169"/>
    <s v="CAS6446244"/>
    <s v="Issue"/>
    <s v="Return / Replace / Scrap"/>
    <s v="Quantity"/>
    <m/>
    <m/>
    <s v="Schlage Residential"/>
    <s v="Lock"/>
    <x v="1"/>
    <x v="1"/>
    <s v="CREDIT FOR CONCEALED SHORTAGE_x000a__x000a_CREDIT OPEN BALANCE : $285.39_x000a__x000a_IFC SHIPMENT_x000a__x000a_CARRIER : USA"/>
    <x v="9"/>
    <s v="SO03202581"/>
    <s v="1084091871"/>
    <s v="4562394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9.791666666701"/>
    <m/>
    <m/>
    <s v="Credit Request"/>
    <s v="Resolved"/>
    <s v="Vicki Y Pleak"/>
    <s v="Vicki Y Pleak"/>
    <s v="Commercial"/>
    <s v="Schlage Residential Mechanical"/>
    <x v="4"/>
    <x v="10"/>
    <s v=""/>
    <s v="2026 / 02"/>
    <s v="Return / Replace / Scrap"/>
    <s v="Product"/>
  </r>
  <r>
    <x v="170"/>
    <s v="CAS6446207"/>
    <s v="Issue"/>
    <s v="Return / Replace / Scrap"/>
    <s v="Quantity"/>
    <m/>
    <m/>
    <s v="Schlage Residential"/>
    <s v="Lock"/>
    <x v="1"/>
    <x v="1"/>
    <s v="CREDIT FOR CONCEALED SHORTAGE_x000a__x000a_CREDIT OPEN BALANCE : $224.10_x000a__x000a_IFC SHIPMENT_x000a__x000a_CARRIER : USA"/>
    <x v="9"/>
    <s v="SO03202387"/>
    <s v="1084092335"/>
    <s v="4562328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9.791666666701"/>
    <m/>
    <m/>
    <s v="Credit Request"/>
    <s v="Resolved"/>
    <s v="Vicki Y Pleak"/>
    <s v="Vicki Y Pleak"/>
    <s v="Commercial"/>
    <s v="Schlage Residential Mechanical"/>
    <x v="4"/>
    <x v="10"/>
    <s v=""/>
    <s v="2026 / 02"/>
    <s v="Return / Replace / Scrap"/>
    <s v="Product"/>
  </r>
  <r>
    <x v="171"/>
    <s v="CAS6446111"/>
    <s v="Issue"/>
    <s v="Return / Replace / Scrap"/>
    <s v="Quantity"/>
    <m/>
    <m/>
    <s v="Schlage Residential"/>
    <s v="Lock"/>
    <x v="1"/>
    <x v="1"/>
    <s v="CREDIT FOR CONCEALED SHORTAGE_x000a__x000a_CREDIT OPEN BALANCE $643.91_x000a__x000a_PRODUCT AUTHORITY SHIPMENT_x000a__x000a_CARRIER :  SAIA"/>
    <x v="9"/>
    <s v="14230973"/>
    <s v="1085449663"/>
    <s v="810830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7.791666666701"/>
    <m/>
    <m/>
    <s v="Credit Request"/>
    <s v="Resolved"/>
    <s v="Vicki Y Pleak"/>
    <s v="Vicki Y Pleak"/>
    <s v="Commercial"/>
    <s v="Schlage Residential Mechanical"/>
    <x v="4"/>
    <x v="10"/>
    <s v=""/>
    <s v="2026 / 02"/>
    <s v="Return / Replace / Scrap"/>
    <s v="Product"/>
  </r>
  <r>
    <x v="172"/>
    <s v="CAS6446070"/>
    <s v="Issue"/>
    <s v="Return / Replace / Scrap"/>
    <s v="Quantity"/>
    <m/>
    <m/>
    <s v="Schlage Residential"/>
    <s v="Lock"/>
    <x v="1"/>
    <x v="1"/>
    <s v="CREDIT FOR CONCEALED SHORTAGE_x000a__x000a_CREDIT OPEN BALANCE $277.43_x000a__x000a_PRODUCT AUTHORITY SHIPMENT_x000a__x000a_CARRIER :  SAIA"/>
    <x v="9"/>
    <s v="14226199"/>
    <s v="1083393309"/>
    <s v="810063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9.791666666701"/>
    <m/>
    <m/>
    <s v="Credit Request"/>
    <s v="Resolved"/>
    <s v="Vicki Y Pleak"/>
    <s v="Vicki Y Pleak"/>
    <s v="Commercial"/>
    <s v="Schlage Residential Mechanical"/>
    <x v="4"/>
    <x v="10"/>
    <s v=""/>
    <s v="2026 / 02"/>
    <s v="Return / Replace / Scrap"/>
    <s v="Product"/>
  </r>
  <r>
    <x v="173"/>
    <s v="CAS6446031"/>
    <s v="Issue"/>
    <s v="Return / Replace / Scrap"/>
    <s v="Quantity"/>
    <m/>
    <m/>
    <s v="Schlage Residential"/>
    <s v="Lock"/>
    <x v="1"/>
    <x v="1"/>
    <s v="CREDIT FOR CONCEALED SHORTAGE_x000a__x000a_CREDIT OPEN BALANCE $744.30_x000a__x000a_PRODUCT AUTHORITY SHIPMENT_x000a__x000a_CARRIER :  R&amp;L"/>
    <x v="9"/>
    <s v="14226193"/>
    <s v="1083393251"/>
    <s v="810054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0.791666666701"/>
    <m/>
    <m/>
    <s v="Credit Request"/>
    <s v="Resolved"/>
    <s v="Vicki Y Pleak"/>
    <s v="Vicki Y Pleak"/>
    <s v="Commercial"/>
    <s v="Schlage Residential Mechanical"/>
    <x v="4"/>
    <x v="10"/>
    <s v=""/>
    <s v="2026 / 02"/>
    <s v="Return / Replace / Scrap"/>
    <s v="Product"/>
  </r>
  <r>
    <x v="174"/>
    <s v="CAS6446000"/>
    <s v="Issue"/>
    <s v="Return / Replace / Scrap"/>
    <s v="Quantity"/>
    <m/>
    <m/>
    <s v="Schlage Residential"/>
    <s v="Lock"/>
    <x v="1"/>
    <x v="1"/>
    <s v="CREDIT FOR CONCEALED SHORTAGE_x000a__x000a_CREDIT OPEN BALANCE $1015.01_x000a__x000a_PRODUCT AUTHORITY SHIPMENT_x000a__x000a_CARRIER :  abf"/>
    <x v="9"/>
    <s v="14226378"/>
    <s v="1083389904"/>
    <s v="810053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9.791666666701"/>
    <m/>
    <m/>
    <s v="Credit Request"/>
    <s v="Resolved"/>
    <s v="Vicki Y Pleak"/>
    <s v="Vicki Y Pleak"/>
    <s v="Commercial"/>
    <s v="Schlage Residential Mechanical"/>
    <x v="4"/>
    <x v="10"/>
    <s v=""/>
    <s v="2026 / 02"/>
    <s v="Return / Replace / Scrap"/>
    <s v="Product"/>
  </r>
  <r>
    <x v="175"/>
    <s v="CAS6424514"/>
    <s v="Issue"/>
    <s v="Return / Replace / Scrap"/>
    <s v="Incorrect/Missing Product"/>
    <m/>
    <m/>
    <s v="Schlage Residential"/>
    <s v="Lock"/>
    <x v="3"/>
    <x v="0"/>
    <s v="CUSTOMER AND ASSOCIATES SEARCHED ENTIRE STORE, UNABLE TO FIND LOCKS _x000a_NC RPL- SHORT SHIPPED_x000a_LINE 2- LOCK.B60.N.605.12-321.10-116.134.KD.C.48-180.2 QTY 5_x000a_SHIP TO: 18220_x000a_2401 S HARPER RD_x000a_CORINTH, MS, 38834, US_x000a_-------------------------------------------------------------------------------------------------------------------------------_x000a_unable to locate line 2 -  shipment 1Z9W01V60395238676 deliv 01/16 @ side door_x000a_QT 5  LOCK.B60.N.605.12-321.10-116.134.KD.C.48-180.2  043156228461_x000a__x000a_will look to see if received - has snowstorm, area still recovering"/>
    <x v="61"/>
    <s v="14240166"/>
    <s v="BSF1220"/>
    <s v="8121372"/>
    <n v="2"/>
    <s v="Schlage Residential"/>
    <s v="Lock"/>
    <s v="B"/>
    <s v="Ensenada"/>
    <n v="5"/>
    <s v="0213082~Allegion no envió un producto/pieza|1040~(Alle) Spedito Articolo/Componente mancante|1036~Allegion a envoyé un produit ou une pièce manquante|1033~Allegion Sent Missing Product / Part"/>
    <s v="9741040~Prodotto Mancante|1033~Missing Product|1036~Produit manquant"/>
    <m/>
    <s v="Product"/>
    <m/>
    <s v="043156228461"/>
    <m/>
    <m/>
    <m/>
    <n v="46029.791666666701"/>
    <m/>
    <m/>
    <s v="Replace Only"/>
    <s v="Resolved"/>
    <s v="Erika Harris"/>
    <s v="Erika Harris"/>
    <s v="Residential - Channel"/>
    <s v="Schlage Residential Mechanical"/>
    <x v="9"/>
    <x v="11"/>
    <s v=""/>
    <s v="2026 / 02"/>
    <s v="Return / Replace / Scrap"/>
    <s v="Product"/>
  </r>
  <r>
    <x v="176"/>
    <s v="CAS6446321"/>
    <s v="Issue"/>
    <s v="Return / Replace / Scrap"/>
    <s v="Incorrect/Missing Product"/>
    <m/>
    <m/>
    <s v="Schlage Residential"/>
    <s v="Lock"/>
    <x v="2"/>
    <x v="0"/>
    <s v="SIF credit for 2 locks shipped incorrect /  Schlage Res. Mech. / WAUSAU SUPPLY COMPANY / 3000015_x000a_Line # 17 - 2 of the F40 LAT 716 COL came without COL Deco Rose._x000a__x000a_I have a special-order item from PO #7007056508 from Wausau Supply,  made shortly after 8/1/25.  The items were F40 Lat 716- AgB Col.  When received by our customer 2 out of 3 on the PO came in without the back plate in Collins.  Wondering what we can offer the customer.  They have already reordered the item and was looking to send them back to us which we can not do for them._x000a_Let me now if you have any questions or a way to reconcile this issue._x000a_CORRIE trittin | customer Service Representative_x000a_Wausau Supply Company| Schofield, WI_x000a_corrie.trittin@wausausupply.com_x000a_Office: 800.236.1528 Option 9  ext. 3387"/>
    <x v="25"/>
    <s v="14146232"/>
    <s v="7007056508"/>
    <s v="7970122"/>
    <n v="17"/>
    <s v="Schlage Residential"/>
    <s v="Lock"/>
    <s v="F Knob/Lever"/>
    <s v="Ensenada"/>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s v="Product"/>
    <m/>
    <s v="043156071814"/>
    <m/>
    <m/>
    <m/>
    <n v="45876.833333333299"/>
    <m/>
    <m/>
    <s v="Return Only"/>
    <s v="Resolved"/>
    <s v="Curt Moore"/>
    <s v="Curt Moore"/>
    <s v="Residential - Channel"/>
    <s v="Schlage Residential Mechanical"/>
    <x v="9"/>
    <x v="16"/>
    <s v=""/>
    <s v="2026 / 02"/>
    <s v="Return / Replace / Scrap"/>
    <s v="Product"/>
  </r>
  <r>
    <x v="177"/>
    <s v="CAS6451638"/>
    <s v="Issue"/>
    <s v="Return / Replace / Scrap"/>
    <s v="Quantity"/>
    <m/>
    <m/>
    <s v="Schlage Residential"/>
    <s v="Lock"/>
    <x v="1"/>
    <x v="1"/>
    <s v="CONCEALED SHORTAGE:_x000a__x000a_LOWES REF#  AD861503_x000a__x000a_CREDIT BALANCE : $1024.86_x000a__x000a_CARRER:   SAIA"/>
    <x v="24"/>
    <s v="SO03216165"/>
    <s v="302647430"/>
    <s v="4564180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13.791666666701"/>
    <m/>
    <m/>
    <s v="Credit Request"/>
    <s v="Resolved"/>
    <s v="Vicki Y Pleak"/>
    <s v="Vicki Y Pleak"/>
    <s v="Commercial"/>
    <s v="Schlage Residential Mechanical"/>
    <x v="4"/>
    <x v="10"/>
    <s v=""/>
    <s v="2026 / 02"/>
    <s v="Return / Replace / Scrap"/>
    <s v="Product"/>
  </r>
  <r>
    <x v="178"/>
    <s v="CAS6448159"/>
    <s v="Issue"/>
    <s v="Return / Replace / Scrap"/>
    <s v="Quantity"/>
    <m/>
    <m/>
    <s v="Schlage Residential"/>
    <s v="Lock"/>
    <x v="3"/>
    <x v="0"/>
    <s v="LINE 6 QTY 4_x000a_LOCK.B60.N.F.716.12-397.10-116.134.KA4.C.48-180.2_x000a_043156278855_x000a_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x v="10"/>
    <s v="14258303"/>
    <s v="6377590"/>
    <s v="8155992"/>
    <n v="6"/>
    <s v="Schlage Residential"/>
    <s v="Lock"/>
    <s v="B"/>
    <s v="Ensenada"/>
    <n v="4"/>
    <s v="0641033~Allegion Shipped Incorrect Amount|1040~(Allegion) Spedito Valore/Q.tà Errato|3082~Allegion envió una cantidad incorrecta|1036~Allegion a expédié un montant incorrect"/>
    <s v="3251033~Shortage|1040~Mancanza|1055~Eksiklik|3082~Escaso|1036~Rupture"/>
    <m/>
    <s v="Shipping"/>
    <m/>
    <s v="043156278855"/>
    <m/>
    <m/>
    <m/>
    <n v="46058.791666666701"/>
    <m/>
    <m/>
    <s v="Replace Only"/>
    <s v="Resolved"/>
    <s v="Portal Cases"/>
    <s v="Ramiro Hernandez"/>
    <s v="Commercial"/>
    <s v="Schlage Residential Mechanical"/>
    <x v="4"/>
    <x v="10"/>
    <s v=""/>
    <s v="2026 / 02"/>
    <s v="Return / Replace / Scrap"/>
    <s v="Product"/>
  </r>
  <r>
    <x v="179"/>
    <s v="CAS6415244"/>
    <s v="Issue"/>
    <s v="Return / Replace / Scrap"/>
    <s v="Incorrect/Missing Product"/>
    <m/>
    <m/>
    <s v="Schlage Residential"/>
    <s v="Lock"/>
    <x v="2"/>
    <x v="0"/>
    <s v="CHARGED REPLACEMENT FOR DELETED LINE | OE ERROR_x000a__x000a_LINE 5, QTY 13: LOCK.F40.LAT.622.16080.10-027.134_x000a_043156479122_x000a__x000a_Replacement for line 5 deleted by OE rep in error thinking it was a duplicate of line 4.  Original PO lines 4 &amp; 5 were same product/different qty._x000a_----------------------------------------------------------_x000a_STATUS ON QTY 13 F40 LAT 622 ON BACKORDER._x000a__x000a_*NO LINE 5 / NO CASE OR NOTES FOUND AS TO WHY LINE 5 WAS DELETED. _x000a__x000a_BLAKE WILL ADVISE SUPER AND CALL BACK."/>
    <x v="62"/>
    <s v="14180482"/>
    <s v="22849"/>
    <s v="8019833"/>
    <n v="5"/>
    <s v="Schlage Residential"/>
    <s v="Lock"/>
    <s v="F Knob/Lever"/>
    <s v="Ensenada"/>
    <n v="13"/>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s v="Order Management"/>
    <m/>
    <s v="043156479122"/>
    <m/>
    <m/>
    <m/>
    <n v="45924.833333333299"/>
    <m/>
    <m/>
    <s v="Replace Only"/>
    <s v="Resolved"/>
    <s v="Janelta Crawford"/>
    <s v="Janelta Crawford"/>
    <s v="Residential - Channel"/>
    <s v="Schlage Residential Mechanical"/>
    <x v="10"/>
    <x v="12"/>
    <s v=""/>
    <s v="2026 / 02"/>
    <s v="Return / Replace / Scrap"/>
    <s v="Customer Care"/>
  </r>
  <r>
    <x v="180"/>
    <s v="CAS6412311"/>
    <s v="Issue"/>
    <s v="Return / Replace / Scrap"/>
    <s v="Quantity"/>
    <m/>
    <m/>
    <s v="Schlage Residential"/>
    <s v="Lock"/>
    <x v="1"/>
    <x v="0"/>
    <s v="NC RPL-  did not receive- received wrong product   40152_x000a__x000a_F58.CEN.622.134.MK.DETAIL.C.48-180.2  QTY 1_x000a_Structure KS40442_x000a_RCK 14938_x000a_change key 40152_x000a__x000a_250 HIGHLAND RD E_x000a_MACEDONIA, OH, 44056"/>
    <x v="63"/>
    <s v="14237600"/>
    <s v="99879"/>
    <s v="8121364"/>
    <m/>
    <s v="Schlage Residential"/>
    <s v="Lock"/>
    <s v="F Handleset"/>
    <s v="Ensenada"/>
    <n v="1"/>
    <s v="0641033~Allegion Shipped Incorrect Amount|1040~(Allegion) Spedito Valore/Q.tà Errato|3082~Allegion envió una cantidad incorrecta|1036~Allegion a expédié un montant incorrect"/>
    <s v="3251033~Shortage|1040~Mancanza|1055~Eksiklik|3082~Escaso|1036~Rupture"/>
    <m/>
    <s v="Shipping"/>
    <m/>
    <s v="F58.CEN.622.134.MK.DETAIL.C.48-180.2"/>
    <m/>
    <m/>
    <m/>
    <n v="46026.791666666701"/>
    <m/>
    <m/>
    <s v="Replace Only"/>
    <s v="Resolved"/>
    <s v="Lucresia James"/>
    <s v="Kevin Durand"/>
    <s v="Commercial"/>
    <s v="Schlage Residential Mechanical"/>
    <x v="4"/>
    <x v="10"/>
    <s v=""/>
    <s v="2026 / 02"/>
    <s v="Return / Replace / Scrap"/>
    <s v="Product"/>
  </r>
  <r>
    <x v="181"/>
    <s v="CAS6411048"/>
    <s v="Issue"/>
    <s v="Return / Replace / Scrap"/>
    <s v="Incorrect/Missing Product"/>
    <m/>
    <m/>
    <s v="Schlage Residential"/>
    <s v="Lock"/>
    <x v="1"/>
    <x v="0"/>
    <s v="Return with 45% restock fee:_x000a__x000a_Line 1 Qty 98 - LOCK.BE467.F.GRW.619.12-398.10-147.134_x000a_Line 2 Qty 511 - LOCK.F10.LAT.619.16-080.10-027.134_x000a_Line 3 Qty 322 - LOCK.F40.LAT.619.16-080.10-027.134_x000a_Line 4 Qty 182 - LOCK.F170.LAT.619.134_x000a_Line 5 Qty 22 - LOCK.B81.619.12-321.10-116.134_x000a__x000a_Spec change/Replacement has already been ordered_x000a_-----------------------------_x000a_Is there anything else we should know about this return?: Please return for credit, customer changed finish the day after we ordered. We were unable to cancel in enough time. We already reordered the same material in the finish needed on SO 14243240 / PO 238311. Thank you_x000a_Selected primary Product Type: Mechanical Locks_x000a_Email: jaysonj@andersonlock.com_x000a_Phone Number: (847) 375-4265_x000a_Preferred Contact Method: Email"/>
    <x v="64"/>
    <s v="14238583"/>
    <s v="238058"/>
    <s v="8116355"/>
    <n v="5"/>
    <s v="Schlage Residential"/>
    <s v="Lock"/>
    <s v="B"/>
    <s v="Ensenada"/>
    <n v="22"/>
    <s v="0591033~Spec / Plan / Job Change|1036~Changement prescription/plan/emploi|1040~Spec / Plan / Job Change|3082~Especificación/Plan/Cambio trabajo"/>
    <s v="1403082~Especificación/Plan/Cambio trabajo|1040~Spec / Pian / Modifica lavoro|1033~Spec / Plan / Job Change|1036~Changement prescription/plan/emploi"/>
    <m/>
    <s v="Customer"/>
    <m/>
    <s v="043156268603"/>
    <m/>
    <m/>
    <m/>
    <n v="46019.791666666701"/>
    <m/>
    <m/>
    <s v="Return Only"/>
    <s v="Resolved"/>
    <s v="Portal Cases"/>
    <s v="Brittney Waterhouse"/>
    <s v="Commercial"/>
    <s v="Schlage Residential Mechanical"/>
    <x v="15"/>
    <x v="21"/>
    <s v=""/>
    <s v="2026 / 02"/>
    <s v="Return / Replace / Scrap"/>
    <s v="Customer"/>
  </r>
  <r>
    <x v="181"/>
    <s v="CAS6411048"/>
    <s v="Issue"/>
    <s v="Return / Replace / Scrap"/>
    <s v="Incorrect/Missing Product"/>
    <m/>
    <m/>
    <s v="Schlage Residential"/>
    <s v="Lock"/>
    <x v="1"/>
    <x v="0"/>
    <s v="Return with 45% restock fee:_x000a__x000a_Line 1 Qty 98 - LOCK.BE467.F.GRW.619.12-398.10-147.134_x000a_Line 2 Qty 511 - LOCK.F10.LAT.619.16-080.10-027.134_x000a_Line 3 Qty 322 - LOCK.F40.LAT.619.16-080.10-027.134_x000a_Line 4 Qty 182 - LOCK.F170.LAT.619.134_x000a_Line 5 Qty 22 - LOCK.B81.619.12-321.10-116.134_x000a__x000a_Spec change/Replacement has already been ordered_x000a_-----------------------------_x000a_Is there anything else we should know about this return?: Please return for credit, customer changed finish the day after we ordered. We were unable to cancel in enough time. We already reordered the same material in the finish needed on SO 14243240 / PO 238311. Thank you_x000a_Selected primary Product Type: Mechanical Locks_x000a_Email: jaysonj@andersonlock.com_x000a_Phone Number: (847) 375-4265_x000a_Preferred Contact Method: Email"/>
    <x v="64"/>
    <s v="14238583"/>
    <s v="238058"/>
    <s v="8116355"/>
    <n v="4"/>
    <s v="Schlage Residential"/>
    <s v="Lock"/>
    <s v="F Handleset"/>
    <s v="Ensenada"/>
    <n v="182"/>
    <s v="0591033~Spec / Plan / Job Change|1036~Changement prescription/plan/emploi|1040~Spec / Plan / Job Change|3082~Especificación/Plan/Cambio trabajo"/>
    <s v="1403082~Especificación/Plan/Cambio trabajo|1040~Spec / Pian / Modifica lavoro|1033~Spec / Plan / Job Change|1036~Changement prescription/plan/emploi"/>
    <m/>
    <s v="Customer"/>
    <m/>
    <s v="043156184637"/>
    <m/>
    <m/>
    <m/>
    <n v="46019.791666666701"/>
    <m/>
    <m/>
    <s v="Return Only"/>
    <s v="Resolved"/>
    <s v="Portal Cases"/>
    <s v="Brittney Waterhouse"/>
    <s v="Commercial"/>
    <s v="Schlage Residential Mechanical"/>
    <x v="15"/>
    <x v="21"/>
    <s v=""/>
    <s v="2026 / 02"/>
    <s v="Return / Replace / Scrap"/>
    <s v="Customer"/>
  </r>
  <r>
    <x v="181"/>
    <s v="CAS6411048"/>
    <s v="Issue"/>
    <s v="Return / Replace / Scrap"/>
    <s v="Incorrect/Missing Product"/>
    <m/>
    <m/>
    <s v="Schlage Residential"/>
    <s v="Lock"/>
    <x v="1"/>
    <x v="0"/>
    <s v="Return with 45% restock fee:_x000a__x000a_Line 1 Qty 98 - LOCK.BE467.F.GRW.619.12-398.10-147.134_x000a_Line 2 Qty 511 - LOCK.F10.LAT.619.16-080.10-027.134_x000a_Line 3 Qty 322 - LOCK.F40.LAT.619.16-080.10-027.134_x000a_Line 4 Qty 182 - LOCK.F170.LAT.619.134_x000a_Line 5 Qty 22 - LOCK.B81.619.12-321.10-116.134_x000a__x000a_Spec change/Replacement has already been ordered_x000a_-----------------------------_x000a_Is there anything else we should know about this return?: Please return for credit, customer changed finish the day after we ordered. We were unable to cancel in enough time. We already reordered the same material in the finish needed on SO 14243240 / PO 238311. Thank you_x000a_Selected primary Product Type: Mechanical Locks_x000a_Email: jaysonj@andersonlock.com_x000a_Phone Number: (847) 375-4265_x000a_Preferred Contact Method: Email"/>
    <x v="64"/>
    <s v="14238583"/>
    <s v="238058"/>
    <s v="8116355"/>
    <n v="3"/>
    <s v="Schlage Residential"/>
    <s v="Lock"/>
    <s v="F Handleset"/>
    <s v="Ensenada"/>
    <n v="322"/>
    <s v="0591033~Spec / Plan / Job Change|1036~Changement prescription/plan/emploi|1040~Spec / Plan / Job Change|3082~Especificación/Plan/Cambio trabajo"/>
    <s v="1403082~Especificación/Plan/Cambio trabajo|1040~Spec / Pian / Modifica lavoro|1033~Spec / Plan / Job Change|1036~Changement prescription/plan/emploi"/>
    <m/>
    <s v="Customer"/>
    <m/>
    <s v="043156184668"/>
    <m/>
    <m/>
    <m/>
    <n v="46019.791666666701"/>
    <m/>
    <m/>
    <s v="Return Only"/>
    <s v="Resolved"/>
    <s v="Portal Cases"/>
    <s v="Brittney Waterhouse"/>
    <s v="Commercial"/>
    <s v="Schlage Residential Mechanical"/>
    <x v="15"/>
    <x v="21"/>
    <s v=""/>
    <s v="2026 / 02"/>
    <s v="Return / Replace / Scrap"/>
    <s v="Customer"/>
  </r>
  <r>
    <x v="181"/>
    <s v="CAS6411048"/>
    <s v="Issue"/>
    <s v="Return / Replace / Scrap"/>
    <s v="Incorrect/Missing Product"/>
    <m/>
    <m/>
    <s v="Schlage Residential"/>
    <s v="Lock"/>
    <x v="1"/>
    <x v="0"/>
    <s v="Return with 45% restock fee:_x000a__x000a_Line 1 Qty 98 - LOCK.BE467.F.GRW.619.12-398.10-147.134_x000a_Line 2 Qty 511 - LOCK.F10.LAT.619.16-080.10-027.134_x000a_Line 3 Qty 322 - LOCK.F40.LAT.619.16-080.10-027.134_x000a_Line 4 Qty 182 - LOCK.F170.LAT.619.134_x000a_Line 5 Qty 22 - LOCK.B81.619.12-321.10-116.134_x000a__x000a_Spec change/Replacement has already been ordered_x000a_-----------------------------_x000a_Is there anything else we should know about this return?: Please return for credit, customer changed finish the day after we ordered. We were unable to cancel in enough time. We already reordered the same material in the finish needed on SO 14243240 / PO 238311. Thank you_x000a_Selected primary Product Type: Mechanical Locks_x000a_Email: jaysonj@andersonlock.com_x000a_Phone Number: (847) 375-4265_x000a_Preferred Contact Method: Email"/>
    <x v="64"/>
    <s v="14238583"/>
    <s v="238058"/>
    <s v="8116355"/>
    <n v="2"/>
    <s v="Schlage Residential"/>
    <s v="Lock"/>
    <s v="F Handleset"/>
    <s v="Ensenada"/>
    <n v="511"/>
    <s v="0591033~Spec / Plan / Job Change|1036~Changement prescription/plan/emploi|1040~Spec / Plan / Job Change|3082~Especificación/Plan/Cambio trabajo"/>
    <s v="1403082~Especificación/Plan/Cambio trabajo|1040~Spec / Pian / Modifica lavoro|1033~Spec / Plan / Job Change|1036~Changement prescription/plan/emploi"/>
    <m/>
    <s v="Customer"/>
    <m/>
    <s v="043156184644"/>
    <m/>
    <m/>
    <m/>
    <n v="46019.791666666701"/>
    <m/>
    <m/>
    <s v="Return Only"/>
    <s v="Resolved"/>
    <s v="Portal Cases"/>
    <s v="Brittney Waterhouse"/>
    <s v="Commercial"/>
    <s v="Schlage Residential Mechanical"/>
    <x v="15"/>
    <x v="21"/>
    <s v=""/>
    <s v="2026 / 02"/>
    <s v="Return / Replace / Scrap"/>
    <s v="Customer"/>
  </r>
  <r>
    <x v="181"/>
    <s v="CAS6411048"/>
    <s v="Issue"/>
    <s v="Return / Replace / Scrap"/>
    <s v="Incorrect/Missing Product"/>
    <m/>
    <m/>
    <s v="Schlage Residential"/>
    <s v="Lock"/>
    <x v="1"/>
    <x v="0"/>
    <s v="Return with 45% restock fee:_x000a__x000a_Line 1 Qty 98 - LOCK.BE467.F.GRW.619.12-398.10-147.134_x000a_Line 2 Qty 511 - LOCK.F10.LAT.619.16-080.10-027.134_x000a_Line 3 Qty 322 - LOCK.F40.LAT.619.16-080.10-027.134_x000a_Line 4 Qty 182 - LOCK.F170.LAT.619.134_x000a_Line 5 Qty 22 - LOCK.B81.619.12-321.10-116.134_x000a__x000a_Spec change/Replacement has already been ordered_x000a_-----------------------------_x000a_Is there anything else we should know about this return?: Please return for credit, customer changed finish the day after we ordered. We were unable to cancel in enough time. We already reordered the same material in the finish needed on SO 14243240 / PO 238311. Thank you_x000a_Selected primary Product Type: Mechanical Locks_x000a_Email: jaysonj@andersonlock.com_x000a_Phone Number: (847) 375-4265_x000a_Preferred Contact Method: Email"/>
    <x v="64"/>
    <s v="14238583"/>
    <s v="238058"/>
    <s v="8116355"/>
    <n v="1"/>
    <s v="Schlage Electronic Locks"/>
    <s v="Electronic Locks"/>
    <s v="Control"/>
    <s v="Ensenada"/>
    <n v="98"/>
    <s v="0591033~Spec / Plan / Job Change|1036~Changement prescription/plan/emploi|1040~Spec / Plan / Job Change|3082~Especificación/Plan/Cambio trabajo"/>
    <s v="1403082~Especificación/Plan/Cambio trabajo|1040~Spec / Pian / Modifica lavoro|1033~Spec / Plan / Job Change|1036~Changement prescription/plan/emploi"/>
    <m/>
    <s v="Customer"/>
    <m/>
    <s v="043156611966"/>
    <m/>
    <m/>
    <m/>
    <n v="46019.791666666701"/>
    <m/>
    <m/>
    <s v="Return Only"/>
    <s v="Resolved"/>
    <s v="Portal Cases"/>
    <s v="Brittney Waterhouse"/>
    <s v="Commercial"/>
    <s v="Schlage Residential Mechanical"/>
    <x v="15"/>
    <x v="21"/>
    <s v=""/>
    <s v="2026 / 02"/>
    <s v="Return / Replace / Scrap"/>
    <s v="Customer"/>
  </r>
  <r>
    <x v="182"/>
    <s v="CAS6408684"/>
    <s v="Issue"/>
    <s v="Credit / Debit Request"/>
    <s v="Pricing Adjustment"/>
    <m/>
    <m/>
    <s v="Schlage Residential"/>
    <s v="Lock"/>
    <x v="2"/>
    <x v="1"/>
    <s v="Credit  for Internal Use Only Do Not Send to Ferguson._x000a_DMJ533-146_x000a_DM 45680242_x000a__x000a_Request and invoice attached."/>
    <x v="4"/>
    <s v="SO03213598"/>
    <s v="H533-13566"/>
    <s v="45644662"/>
    <n v="79"/>
    <s v="Schlage Residential"/>
    <s v="Lock"/>
    <s v="F Knob/Lever"/>
    <s v="Olathe"/>
    <n v="19"/>
    <s v="0531033~Quote / Product Error|1040~Errore Offerta / Prodotto|3082~Oferta / error producto|1036~Erreur de devis / produit"/>
    <s v="0171033~Broken Package|1040~Collo Rotto|3082~Embalaje roto|1036~Emballage cassé"/>
    <m/>
    <s v="Sales"/>
    <m/>
    <s v="043156654529 / SCH654529"/>
    <m/>
    <m/>
    <m/>
    <n v="46019.791666666701"/>
    <m/>
    <m/>
    <s v="Credit Request"/>
    <s v="Resolved"/>
    <s v="Curt Moore"/>
    <s v="Curt Moore"/>
    <s v="Residential - Channel"/>
    <s v="Schlage Residential Mechanical"/>
    <x v="5"/>
    <x v="5"/>
    <s v=""/>
    <s v="2026 / 02"/>
    <s v="Credit / Debit Request"/>
    <s v="Customer Care"/>
  </r>
  <r>
    <x v="182"/>
    <s v="CAS6408684"/>
    <s v="Issue"/>
    <s v="Credit / Debit Request"/>
    <s v="Pricing Adjustment"/>
    <m/>
    <m/>
    <s v="Schlage Residential"/>
    <s v="Lock"/>
    <x v="2"/>
    <x v="1"/>
    <s v="Credit  for Internal Use Only Do Not Send to Ferguson._x000a_DMJ533-146_x000a_DM 45680242_x000a__x000a_Request and invoice attached."/>
    <x v="4"/>
    <s v="SO03213598"/>
    <s v="H533-13566"/>
    <s v="45644662"/>
    <n v="34"/>
    <s v="Schlage Residential"/>
    <s v="Lock"/>
    <s v="F Knob/Lever"/>
    <s v="Olathe"/>
    <n v="48"/>
    <s v="0531033~Quote / Product Error|1040~Errore Offerta / Prodotto|3082~Oferta / error producto|1036~Erreur de devis / produit"/>
    <s v="0171033~Broken Package|1040~Collo Rotto|3082~Embalaje roto|1036~Emballage cassé"/>
    <m/>
    <s v="Sales"/>
    <m/>
    <s v="043156184668 / SCH184668"/>
    <m/>
    <m/>
    <m/>
    <n v="46019.791666666701"/>
    <m/>
    <m/>
    <s v="Credit Request"/>
    <s v="Resolved"/>
    <s v="Curt Moore"/>
    <s v="Curt Moore"/>
    <s v="Residential - Channel"/>
    <s v="Schlage Residential Mechanical"/>
    <x v="5"/>
    <x v="5"/>
    <s v=""/>
    <s v="2026 / 02"/>
    <s v="Credit / Debit Request"/>
    <s v="Customer Care"/>
  </r>
  <r>
    <x v="183"/>
    <s v="CAS6456555"/>
    <s v="Issue"/>
    <s v="Return / Replace / Scrap"/>
    <s v="Incorrect/Missing Product"/>
    <m/>
    <m/>
    <s v="Schlage Residential"/>
    <s v="Lock"/>
    <x v="1"/>
    <x v="0"/>
    <s v="NC RPL MASTERKEY_x000a__x000a_25R08410_x000a_(QTY 2) LOCK.F51A.CF.LAT.619.16-203.10-027.134.MK.C.48-180.2_x000a_Door ID UNIT 74_x000a_Group 29_x000a_RCK# 29814_x000a_CH key # 06276_x000a__x000a_SHIP to _x000a_99-1444 KOAHA PLACE  BAY B_x000a_AIEA, HI, 96701, US_x000a__x000a__x000a_Is there anything else we should know about this return?: we received these 2 locks for Unit 74 under key group 29 and should be biting # 06276 but when the locks were installed the construction and owner key does not work we need to replace these 2 locks_x000a_Selected primary Product Type: Mechanical Locks_x000a_Do you also need to update the Ship To Address on your order?: No_x000a_The original ship-to address is saved on the shipping tab._x000a_Did the label match the product inside?: Yes_x000a_Email: keith@hardwaretrendshi.com_x000a_Phone Number: (808) 484-9370_x000a_Preferred Contact Method: Email"/>
    <x v="65"/>
    <s v="14190367"/>
    <s v="302073-19"/>
    <s v="8045535"/>
    <m/>
    <s v="Schlage Residential"/>
    <s v="Lock"/>
    <s v="F Knob/Lever"/>
    <s v="Ensenada"/>
    <n v="2"/>
    <s v="0281033~Allegion Sent Incorrect Product / Part"/>
    <s v="9721033~Incorrect Product|1036~Produit incorrect|1040~Prodotto errato"/>
    <m/>
    <s v="Product"/>
    <m/>
    <s v="FKL-SLLK*9984340"/>
    <m/>
    <m/>
    <m/>
    <n v="45946.833333333299"/>
    <m/>
    <m/>
    <s v="Replace Only"/>
    <s v="Active"/>
    <s v="Portal Cases"/>
    <s v="Kris Learned"/>
    <s v="Commercial"/>
    <s v="Schlage Residential Mechanical"/>
    <x v="7"/>
    <x v="8"/>
    <s v=""/>
    <s v="2026 / 02"/>
    <s v="Return / Replace / Scrap"/>
    <s v="Product"/>
  </r>
  <r>
    <x v="184"/>
    <s v="CAS6431217"/>
    <s v="Issue"/>
    <s v="Return / Replace / Scrap"/>
    <s v="Quantity"/>
    <m/>
    <m/>
    <s v="Schlage Residential"/>
    <s v="Lock"/>
    <x v="2"/>
    <x v="0"/>
    <s v="Customer Accommodation for 5 of the M504-271_x000a_account # 3001635_x000a_Change ST address_x000a__x000a_Good afternoon,_x000a_Will you please ship 5ea privacy pins/keys for the F40 BWE 625 to the address below? _x000a_Monica Villegas 295 Shoveler Irvine, Ca. 92618_x000a_Thank You:_x000a_ Rudy Pedroza_x000a_Project Coordinator_x000a_714-553-6401"/>
    <x v="66"/>
    <s v="14130657"/>
    <s v="265175"/>
    <s v="7948983"/>
    <m/>
    <s v="Schlage Residential"/>
    <s v="Lock"/>
    <s v="F Knob/Lever"/>
    <s v="Ensenada"/>
    <n v="5"/>
    <s v="0641033~Allegion Shipped Incorrect Amount|1040~(Allegion) Spedito Valore/Q.tà Errato|3082~Allegion envió una cantidad incorrecta|1036~Allegion a expédié un montant incorrect"/>
    <s v="3251033~Shortage|1040~Mancanza|1055~Eksiklik|3082~Escaso|1036~Rupture"/>
    <m/>
    <s v="Shipping"/>
    <m/>
    <m/>
    <m/>
    <m/>
    <m/>
    <n v="45855.833333333299"/>
    <m/>
    <m/>
    <s v="Replace Only"/>
    <s v="Resolved"/>
    <s v="Curt Moore"/>
    <s v="Curt Moore"/>
    <s v="Residential - Channel"/>
    <s v="Schlage Residential Mechanical"/>
    <x v="4"/>
    <x v="10"/>
    <s v=""/>
    <s v="2026 / 02"/>
    <s v="Return / Replace / Scrap"/>
    <s v="Product"/>
  </r>
  <r>
    <x v="185"/>
    <s v="CAS6440511"/>
    <s v="Issue"/>
    <s v="Return / Replace / Scrap"/>
    <s v="Quantity"/>
    <m/>
    <m/>
    <s v="Schlage Residential"/>
    <s v="Lock"/>
    <x v="1"/>
    <x v="1"/>
    <s v="CREDIT FOR CONCEALED SHORTAGE_x000a__x000a_CREDIT OPEN BALANCE : $309.00_x000a__x000a_IFC SHIPMENT_x000a__x000a_CARRIER : USA"/>
    <x v="9"/>
    <s v="SO03204270"/>
    <s v="1084749230"/>
    <s v="4562535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6000.791666666701"/>
    <m/>
    <m/>
    <s v="Credit Request"/>
    <s v="Resolved"/>
    <s v="Vicki Y Pleak"/>
    <s v="Vicki Y Pleak"/>
    <s v="Commercial"/>
    <s v="Schlage Residential Mechanical"/>
    <x v="4"/>
    <x v="10"/>
    <s v=""/>
    <s v="2026 / 02"/>
    <s v="Return / Replace / Scrap"/>
    <s v="Product"/>
  </r>
  <r>
    <x v="186"/>
    <s v="CAS6440490"/>
    <s v="Issue"/>
    <s v="Return / Replace / Scrap"/>
    <s v="Quantity"/>
    <m/>
    <m/>
    <s v="Schlage Residential"/>
    <s v="Lock"/>
    <x v="1"/>
    <x v="1"/>
    <s v="CREDIT FOR CONCEALED SHORTAGE_x000a__x000a_CREDIT OPEN BALANCE : $723.29_x000a__x000a_IFC SHIPMENT_x000a__x000a_CARRIER : USA"/>
    <x v="9"/>
    <s v="SO03202398"/>
    <s v="1084092405"/>
    <s v="4562394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9.791666666701"/>
    <m/>
    <m/>
    <s v="Credit Request"/>
    <s v="Resolved"/>
    <s v="Vicki Y Pleak"/>
    <s v="Vicki Y Pleak"/>
    <s v="Commercial"/>
    <s v="Schlage Residential Mechanical"/>
    <x v="4"/>
    <x v="10"/>
    <s v=""/>
    <s v="2026 / 02"/>
    <s v="Return / Replace / Scrap"/>
    <s v="Product"/>
  </r>
  <r>
    <x v="187"/>
    <s v="CAS6440461"/>
    <s v="Issue"/>
    <s v="Return / Replace / Scrap"/>
    <s v="Quantity"/>
    <m/>
    <m/>
    <s v="Schlage Residential"/>
    <s v="Lock"/>
    <x v="1"/>
    <x v="1"/>
    <s v="CREDIT FOR CONCEALED SHORTAGE_x000a__x000a_CREDIT OPEN BALANCE : $318.40_x000a__x000a_IFC SHIPMENT_x000a__x000a_CARRIER : USA"/>
    <x v="9"/>
    <s v="SO03202396"/>
    <s v="1084092052"/>
    <s v="4562389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9.791666666701"/>
    <m/>
    <m/>
    <s v="Credit Request"/>
    <s v="Resolved"/>
    <s v="Vicki Y Pleak"/>
    <s v="Vicki Y Pleak"/>
    <s v="Commercial"/>
    <s v="Schlage Residential Mechanical"/>
    <x v="4"/>
    <x v="10"/>
    <s v=""/>
    <s v="2026 / 02"/>
    <s v="Return / Replace / Scrap"/>
    <s v="Product"/>
  </r>
  <r>
    <x v="188"/>
    <s v="CAS6440423"/>
    <s v="Issue"/>
    <s v="Return / Replace / Scrap"/>
    <s v="Quantity"/>
    <m/>
    <m/>
    <s v="Schlage Residential"/>
    <s v="Lock"/>
    <x v="1"/>
    <x v="1"/>
    <s v="CREDIT FOR CONCEALED SHORTAGE_x000a__x000a_CREDIT OPEN BALANCE : $489.40_x000a__x000a_IFC SHIPMENT_x000a__x000a_CARRIER : USA"/>
    <x v="9"/>
    <s v="SO03202389"/>
    <s v="1084083717"/>
    <s v="4562361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9.791666666701"/>
    <m/>
    <m/>
    <s v="Credit Request"/>
    <s v="Resolved"/>
    <s v="Vicki Y Pleak"/>
    <s v="Vicki Y Pleak"/>
    <s v="Commercial"/>
    <s v="Schlage Residential Mechanical"/>
    <x v="4"/>
    <x v="10"/>
    <s v=""/>
    <s v="2026 / 02"/>
    <s v="Return / Replace / Scrap"/>
    <s v="Product"/>
  </r>
  <r>
    <x v="189"/>
    <s v="CAS6440376"/>
    <s v="Issue"/>
    <s v="Return / Replace / Scrap"/>
    <s v="Quantity"/>
    <m/>
    <m/>
    <s v="Schlage Residential"/>
    <s v="Lock"/>
    <x v="1"/>
    <x v="1"/>
    <s v="CREDIT FOR CONCEALED SHORTAGE_x000a__x000a_CREDIT OPEN BALANCE : $843.44_x000a__x000a_IFC SHIPMENT_x000a__x000a_CARRIER : USA"/>
    <x v="9"/>
    <s v="SO03196164"/>
    <s v="1082665496"/>
    <s v="4561381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3.791666666701"/>
    <m/>
    <m/>
    <s v="Credit Request"/>
    <s v="Resolved"/>
    <s v="Vicki Y Pleak"/>
    <s v="Vicki Y Pleak"/>
    <s v="Commercial"/>
    <s v="Schlage Residential Mechanical"/>
    <x v="4"/>
    <x v="10"/>
    <s v=""/>
    <s v="2026 / 02"/>
    <s v="Return / Replace / Scrap"/>
    <s v="Product"/>
  </r>
  <r>
    <x v="190"/>
    <s v="CAS6440353"/>
    <s v="Issue"/>
    <s v="Return / Replace / Scrap"/>
    <s v="Quantity"/>
    <m/>
    <m/>
    <s v="Schlage Residential"/>
    <s v="Lock"/>
    <x v="1"/>
    <x v="1"/>
    <s v="CREDIT FOR CONCEALED SHORTAGE_x000a__x000a_CREDIT OPEN BALANCE : $242.74_x000a__x000a_IFC SHIPMENT_x000a__x000a_CARRIER : USA"/>
    <x v="9"/>
    <s v="SO03196159"/>
    <s v="1082658834"/>
    <s v="45613813"/>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3.791666666701"/>
    <m/>
    <m/>
    <s v="Credit Request"/>
    <s v="Resolved"/>
    <s v="Vicki Y Pleak"/>
    <s v="Vicki Y Pleak"/>
    <s v="Commercial"/>
    <s v="Schlage Residential Mechanical"/>
    <x v="4"/>
    <x v="10"/>
    <s v=""/>
    <s v="2026 / 02"/>
    <s v="Return / Replace / Scrap"/>
    <s v="Product"/>
  </r>
  <r>
    <x v="191"/>
    <s v="CAS6440332"/>
    <s v="Issue"/>
    <s v="Return / Replace / Scrap"/>
    <s v="Quantity"/>
    <m/>
    <m/>
    <s v="Schlage Residential"/>
    <s v="Lock"/>
    <x v="1"/>
    <x v="1"/>
    <s v="CREDIT FOR CONCEALED SHORTAGE_x000a__x000a_CREDIT OPEN BALANCE : $318.34_x000a__x000a_IFC SHIPMENT_x000a__x000a_CARRIER : USA"/>
    <x v="9"/>
    <s v="SO03194001"/>
    <s v="1081848830"/>
    <s v="4561232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2.791666666701"/>
    <m/>
    <m/>
    <s v="Credit Request"/>
    <s v="Resolved"/>
    <s v="Vicki Y Pleak"/>
    <s v="Vicki Y Pleak"/>
    <s v="Commercial"/>
    <s v="Schlage Residential Mechanical"/>
    <x v="4"/>
    <x v="10"/>
    <s v=""/>
    <s v="2026 / 02"/>
    <s v="Return / Replace / Scrap"/>
    <s v="Product"/>
  </r>
  <r>
    <x v="192"/>
    <s v="CAS6440306"/>
    <s v="Issue"/>
    <s v="Return / Replace / Scrap"/>
    <s v="Quantity"/>
    <m/>
    <m/>
    <s v="Schlage Residential"/>
    <s v="Lock"/>
    <x v="1"/>
    <x v="1"/>
    <s v="CREDIT FOR CONCEALED SHORTAGE_x000a__x000a_CREDIT OPEN BALANCE : $623.22_x000a__x000a_IFC SHIPMENT_x000a__x000a_CARRIER : ESTES"/>
    <x v="9"/>
    <s v="SO03193974"/>
    <s v="1081843814"/>
    <s v="4561183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2.791666666701"/>
    <m/>
    <m/>
    <s v="Credit Request"/>
    <s v="Resolved"/>
    <s v="Vicki Y Pleak"/>
    <s v="Vicki Y Pleak"/>
    <s v="Commercial"/>
    <s v="Schlage Residential Mechanical"/>
    <x v="4"/>
    <x v="10"/>
    <s v=""/>
    <s v="2026 / 02"/>
    <s v="Return / Replace / Scrap"/>
    <s v="Product"/>
  </r>
  <r>
    <x v="193"/>
    <s v="CAS6440276"/>
    <s v="Issue"/>
    <s v="Return / Replace / Scrap"/>
    <s v="Quantity"/>
    <m/>
    <m/>
    <s v="Schlage Residential"/>
    <s v="Lock"/>
    <x v="1"/>
    <x v="1"/>
    <s v="CREDIT FOR CONCEALED SHORTAGE_x000a__x000a_CREDIT OPEN BALANCE : $264.07_x000a__x000a_IFC SHIPMENT_x000a__x000a_CARRIER : USA"/>
    <x v="9"/>
    <s v="SO03193968"/>
    <s v="1081843060"/>
    <s v="4561160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2.791666666701"/>
    <m/>
    <m/>
    <s v="Credit Request"/>
    <s v="Resolved"/>
    <s v="Vicki Y Pleak"/>
    <s v="Vicki Y Pleak"/>
    <s v="Commercial"/>
    <s v="Schlage Residential Mechanical"/>
    <x v="4"/>
    <x v="10"/>
    <s v=""/>
    <s v="2026 / 02"/>
    <s v="Return / Replace / Scrap"/>
    <s v="Product"/>
  </r>
  <r>
    <x v="194"/>
    <s v="CAS6433714"/>
    <s v="Issue"/>
    <s v="Return / Replace / Scrap"/>
    <s v="Incorrect/Missing Product"/>
    <m/>
    <m/>
    <s v="Schlage Residential"/>
    <s v="Multiple"/>
    <x v="4"/>
    <x v="0"/>
    <s v="SIF-RPL - SHORT SHIPPED/ITEMS NOT RECEIVED_x000a_LINE 4- 16-126 626 N N SL ( LATCH DL 5 BS) QTY 6_x000a_LINE 8- LOCK.BE365.PLY.609.12-321.10-116.134.KD.C.48-180.1 QTY 20_x000a__x000a_SHIP TO: 941566_x000a_2902 MAYFIELD RD. SUITE 100_x000a_GRAND PRAIRIE, TX 75052_x000a_-------------------------------------------------------------------------------------------------------------------------------_x000a_Selected primary Product Type: Accessories_x000a_Do you also need to update the Ship To Address on your order?: No_x000a_The original ship-to address is saved on the shipping tab._x000a_Email: ashley.grant@bannersolutions.com_x000a_Phone Number: 8883620750_x000a_Preferred Contact Method: Email"/>
    <x v="28"/>
    <s v="14260731"/>
    <s v="6377728"/>
    <s v="8155762"/>
    <n v="8"/>
    <s v="Schlage Residential"/>
    <s v="Lock"/>
    <s v="Keypad Lock"/>
    <s v="Ensenada"/>
    <n v="20"/>
    <s v="0213082~Allegion no envió un producto/pieza|1040~(Alle) Spedito Articolo/Componente mancante|1036~Allegion a envoyé un produit ou une pièce manquante|1033~Allegion Sent Missing Product / Part"/>
    <s v="9741040~Prodotto Mancante|1033~Missing Product|1036~Produit manquant"/>
    <m/>
    <s v="Product"/>
    <m/>
    <s v="043156329571"/>
    <m/>
    <m/>
    <m/>
    <n v="46058.791666666701"/>
    <m/>
    <m/>
    <s v="Replace Only"/>
    <s v="Resolved"/>
    <s v="Portal Cases"/>
    <s v="Erika Harris"/>
    <s v="Residential - Channel"/>
    <s v="Schlage Residential Mechanical"/>
    <x v="9"/>
    <x v="11"/>
    <s v=""/>
    <s v="2026 / 02"/>
    <s v="Return / Replace / Scrap"/>
    <s v="Product"/>
  </r>
  <r>
    <x v="194"/>
    <s v="CAS6433714"/>
    <s v="Issue"/>
    <s v="Return / Replace / Scrap"/>
    <s v="Incorrect/Missing Product"/>
    <m/>
    <m/>
    <s v="Schlage Residential"/>
    <s v="Multiple"/>
    <x v="4"/>
    <x v="0"/>
    <s v="SIF-RPL - SHORT SHIPPED/ITEMS NOT RECEIVED_x000a_LINE 4- 16-126 626 N N SL ( LATCH DL 5 BS) QTY 6_x000a_LINE 8- LOCK.BE365.PLY.609.12-321.10-116.134.KD.C.48-180.1 QTY 20_x000a__x000a_SHIP TO: 941566_x000a_2902 MAYFIELD RD. SUITE 100_x000a_GRAND PRAIRIE, TX 75052_x000a_-------------------------------------------------------------------------------------------------------------------------------_x000a_Selected primary Product Type: Accessories_x000a_Do you also need to update the Ship To Address on your order?: No_x000a_The original ship-to address is saved on the shipping tab._x000a_Email: ashley.grant@bannersolutions.com_x000a_Phone Number: 8883620750_x000a_Preferred Contact Method: Email"/>
    <x v="28"/>
    <s v="14260731"/>
    <s v="6377728"/>
    <s v="8155762"/>
    <n v="4"/>
    <s v="Schlage Residential"/>
    <s v="Lock"/>
    <s v="F Knob/Lever"/>
    <s v="Ensenada"/>
    <n v="6"/>
    <s v="0213082~Allegion no envió un producto/pieza|1040~(Alle) Spedito Articolo/Componente mancante|1036~Allegion a envoyé un produit ou une pièce manquante|1033~Allegion Sent Missing Product / Part"/>
    <s v="9741040~Prodotto Mancante|1033~Missing Product|1036~Produit manquant"/>
    <m/>
    <s v="Product"/>
    <m/>
    <s v="043156359431"/>
    <m/>
    <m/>
    <m/>
    <n v="46058.791666666701"/>
    <m/>
    <m/>
    <s v="Replace Only"/>
    <s v="Resolved"/>
    <s v="Portal Cases"/>
    <s v="Erika Harris"/>
    <s v="Residential - Channel"/>
    <s v="Schlage Residential Mechanical"/>
    <x v="9"/>
    <x v="11"/>
    <s v=""/>
    <s v="2026 / 02"/>
    <s v="Return / Replace / Scrap"/>
    <s v="Product"/>
  </r>
  <r>
    <x v="195"/>
    <s v="CAS6413090"/>
    <s v="Issue"/>
    <s v="Return / Replace / Scrap"/>
    <s v="Incorrect/Missing Product"/>
    <m/>
    <m/>
    <s v="Schlage Residential"/>
    <s v="Lock"/>
    <x v="3"/>
    <x v="0"/>
    <s v="IBC REQ SCREW PACKS FOR B60 622, CUST STATED 716 WOULD ALSO WORK - SCREW PACKS WERE MISSING FROM BOX_x000a__x000a_SHIPPING ADDRESS_x000a_3495 WINTON PL_x000a_BLDG A STE 4_x000a_ROCHESTER, NY, 14623"/>
    <x v="67"/>
    <s v="14220453"/>
    <s v="88501"/>
    <m/>
    <n v="4"/>
    <s v="Schlage Residential"/>
    <s v="Lock"/>
    <s v="B"/>
    <s v="Ensenada"/>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s v="Product"/>
    <m/>
    <s v="33815688"/>
    <m/>
    <m/>
    <m/>
    <n v="45988.791666666701"/>
    <m/>
    <m/>
    <s v="Replace Only"/>
    <s v="Active"/>
    <s v="Bionica Brown"/>
    <s v="Bionica Brown"/>
    <s v="Residential - Channel"/>
    <s v="Schlage Residential Mechanical"/>
    <x v="9"/>
    <x v="16"/>
    <s v=""/>
    <s v="2026 / 02"/>
    <s v="Return / Replace / Scrap"/>
    <s v="Product"/>
  </r>
  <r>
    <x v="196"/>
    <s v="CAS6424341"/>
    <s v="Issue"/>
    <s v="Return / Replace / Scrap"/>
    <s v="Defective Product"/>
    <m/>
    <s v="Reliability"/>
    <s v="Schlage Residential"/>
    <s v="Lock"/>
    <x v="1"/>
    <x v="0"/>
    <s v="PER COREY SCHAB--_x000a__x000a_&quot;WARRANTY REPLACEMENT FOR IRVINE APARTMENT COMMUNITIES. PLEASE EXPEDITE SHIPPING&quot;_x000a__x000a_PO AG8122024_x000a_LINE 1-QTY 60--LOCK.F40.ACC.619.16-080.10-027.134 RH ((PUSH BUTTON NOT WORKING))_x000a__x000a_LINE 3-QTY 60--LOCK.B60.N.716.619.12-321.10-116.134.KA4.C.48-180.2 ((FINISH NOT HOLDING UP))_x000a__x000a_SHIP TO:_x000a__x000a_IRVINE CO/ SAN CARLO VILLA_x000a_15 MURICA AISLE_x000a_IRVINE, CA 92614"/>
    <x v="34"/>
    <s v="13906407"/>
    <s v="AG8122024"/>
    <s v="7584348"/>
    <n v="3"/>
    <s v="Schlage Residential"/>
    <s v="Lock"/>
    <s v="B"/>
    <s v="Ensenada"/>
    <n v="60"/>
    <s v="0071033~Appearance / Finish|1040~Estetica / Finitura|3082~Estética / Acabado|1036~Apparence/Finition"/>
    <s v="4351033~Peeling|1036~Décollement|1040~Sfogliato|3082~Desconcharse|1055~Kabuğunu Soymak"/>
    <m/>
    <s v="Product"/>
    <m/>
    <s v="043156264926"/>
    <s v="B60"/>
    <m/>
    <m/>
    <n v="45519.833333333299"/>
    <m/>
    <m/>
    <s v="Replace Only"/>
    <s v="Resolved"/>
    <s v="Jessica Cook"/>
    <s v="Jessica Cook"/>
    <s v="Residential - Channel"/>
    <s v="Schlage Residential Mechanical"/>
    <x v="2"/>
    <x v="28"/>
    <s v=""/>
    <s v="2026 / 02"/>
    <s v="Return / Replace / Scrap"/>
    <s v="Product"/>
  </r>
  <r>
    <x v="196"/>
    <s v="CAS6424341"/>
    <s v="Issue"/>
    <s v="Return / Replace / Scrap"/>
    <s v="Defective Product"/>
    <m/>
    <s v="Reliability"/>
    <s v="Schlage Residential"/>
    <s v="Lock"/>
    <x v="1"/>
    <x v="0"/>
    <s v="PER COREY SCHAB--_x000a__x000a_&quot;WARRANTY REPLACEMENT FOR IRVINE APARTMENT COMMUNITIES. PLEASE EXPEDITE SHIPPING&quot;_x000a__x000a_PO AG8122024_x000a_LINE 1-QTY 60--LOCK.F40.ACC.619.16-080.10-027.134 RH ((PUSH BUTTON NOT WORKING))_x000a__x000a_LINE 3-QTY 60--LOCK.B60.N.716.619.12-321.10-116.134.KA4.C.48-180.2 ((FINISH NOT HOLDING UP))_x000a__x000a_SHIP TO:_x000a__x000a_IRVINE CO/ SAN CARLO VILLA_x000a_15 MURICA AISLE_x000a_IRVINE, CA 92614"/>
    <x v="34"/>
    <s v="13906407"/>
    <s v="AG8122024"/>
    <s v="7584348"/>
    <n v="1"/>
    <s v="Schlage Residential"/>
    <s v="Lock"/>
    <s v="F Handleset"/>
    <s v="Ensenada"/>
    <n v="60"/>
    <s v="0311033~Functional Mechanical|1040~Funzionamento Meccanico|3082~Función mecánica|1036~Functional Mechanical"/>
    <s v="0201033~Cannot lock / Unlock|1040~Impossibile bloccare / sbloccare|3082~No se puede bloquear/desbloquear|1036~Impossible de verrouiller / Déverrouiller"/>
    <m/>
    <s v="Product"/>
    <m/>
    <s v="043156794690"/>
    <s v="F58"/>
    <m/>
    <m/>
    <n v="45519.833333333299"/>
    <m/>
    <m/>
    <s v="Replace Only"/>
    <s v="Resolved"/>
    <s v="Jessica Cook"/>
    <s v="Jessica Cook"/>
    <s v="Residential - Channel"/>
    <s v="Schlage Residential Mechanical"/>
    <x v="0"/>
    <x v="14"/>
    <s v=""/>
    <s v="2026 / 02"/>
    <s v="Return / Replace / Scrap"/>
    <s v="Product"/>
  </r>
  <r>
    <x v="197"/>
    <s v="CAS6408565"/>
    <s v="Issue"/>
    <s v="Return / Replace / Scrap"/>
    <s v="Incorrect/Missing Product"/>
    <m/>
    <m/>
    <s v="Schlage Residential"/>
    <s v="Lock"/>
    <x v="1"/>
    <x v="0"/>
    <s v="PO 729022--SHORT SHIP-MISSING (8) LOCK.F10.MER.716.16-080.10-027.134_x000a_LINE 3-QTY 8_x000a_--------------_x000a_Good afternoon,_x000a__x000a_On our PO# 729022,  Item# F10 MER 716, we are short 8 ea.  It looks like UPS lost tracking # 1Z9W01V603 16152817._x000a__x000a_Please reship 8 ea F10 MER 716._x000a__x000a_Thank you"/>
    <x v="68"/>
    <s v="14252589"/>
    <s v="729022"/>
    <s v="8138502"/>
    <n v="3"/>
    <s v="Schlage Residential"/>
    <s v="Lock"/>
    <s v="F Handleset"/>
    <s v="Ensenada"/>
    <n v="8"/>
    <s v="0213082~Allegion no envió un producto/pieza|1040~(Alle) Spedito Articolo/Componente mancante|1036~Allegion a envoyé un produit ou une pièce manquante|1033~Allegion Sent Missing Product / Part"/>
    <s v="9741040~Prodotto Mancante|1033~Missing Product|1036~Produit manquant"/>
    <m/>
    <s v="Product"/>
    <m/>
    <s v="043156225040"/>
    <m/>
    <m/>
    <m/>
    <n v="46047.791666666701"/>
    <m/>
    <m/>
    <s v="Replace Only"/>
    <s v="Resolved"/>
    <s v="Jessica Cook"/>
    <s v="Jessica Cook"/>
    <s v="Residential - Channel"/>
    <s v="Schlage Residential Mechanical"/>
    <x v="9"/>
    <x v="11"/>
    <s v=""/>
    <s v="2026 / 02"/>
    <s v="Return / Replace / Scrap"/>
    <s v="Product"/>
  </r>
  <r>
    <x v="198"/>
    <s v="CAS6439777"/>
    <s v="Issue"/>
    <s v="Credit / Debit Request"/>
    <s v="Pricing Adjustment"/>
    <m/>
    <m/>
    <s v="Schlage Residential"/>
    <s v="Lock"/>
    <x v="2"/>
    <x v="1"/>
    <s v="Credit Internal Use Only/Do not send to Orgill for concealed shortage / Damage._x000a_Customer  8144561DMQ_x000a__x000a_See attached request."/>
    <x v="30"/>
    <s v="14250552 - SO03239322"/>
    <s v="33789167"/>
    <s v="8144561"/>
    <n v="9"/>
    <s v="Schlage Residential"/>
    <s v="Lock"/>
    <s v="F Knob/Lever"/>
    <s v="Olathe"/>
    <n v="32"/>
    <s v="0531033~Quote / Product Error|1040~Errore Offerta / Prodotto|3082~Oferta / error producto|1036~Erreur de devis / produit"/>
    <s v="0171033~Broken Package|1040~Collo Rotto|3082~Embalaje roto|1036~Emballage cassé"/>
    <m/>
    <s v="Sales"/>
    <m/>
    <s v="043156994502 / 593-7883"/>
    <m/>
    <m/>
    <m/>
    <n v="45683.791666666701"/>
    <m/>
    <m/>
    <s v="Credit Request"/>
    <s v="Resolved"/>
    <s v="Curt Moore"/>
    <s v="Curt Moore"/>
    <s v="Residential - Channel"/>
    <s v="Schlage Residential Mechanical"/>
    <x v="5"/>
    <x v="5"/>
    <s v=""/>
    <s v="2026 / 02"/>
    <s v="Credit / Debit Request"/>
    <s v="Customer Care"/>
  </r>
  <r>
    <x v="199"/>
    <s v="CAS6420029"/>
    <s v="Issue"/>
    <s v="Return / Replace / Scrap"/>
    <s v="Defective Product"/>
    <m/>
    <s v="Reliability"/>
    <s v="Schlage Residential"/>
    <s v="Lock"/>
    <x v="3"/>
    <x v="0"/>
    <s v="We received one defective B60-626 deadbolt on PO 81979. Please issue a credit, as a replacement is not needed."/>
    <x v="1"/>
    <s v="14169692"/>
    <s v="81979"/>
    <m/>
    <n v="3"/>
    <s v="Schlage Residential"/>
    <s v="Lock"/>
    <s v="B"/>
    <s v="Ensenada"/>
    <n v="1"/>
    <s v="0071033~Appearance / Finish|1040~Estetica / Finitura|3082~Estética / Acabado|1036~Apparence/Finition"/>
    <s v="0251033~Color Mismatch|1040~Non corrispondenza del colore|3082~Desajuste de color|1036~PB de coloris"/>
    <m/>
    <s v="Product"/>
    <m/>
    <s v="043156248360"/>
    <m/>
    <m/>
    <m/>
    <n v="45915.833333333299"/>
    <m/>
    <m/>
    <s v="Credit Request"/>
    <s v="Active"/>
    <s v="Bionica Brown"/>
    <s v="Bionica Brown"/>
    <s v="Residential - Channel"/>
    <s v="Schlage Residential Mechanical"/>
    <x v="2"/>
    <x v="29"/>
    <s v=""/>
    <s v="2026 / 02"/>
    <s v="Return / Replace / Scrap"/>
    <s v="Product"/>
  </r>
  <r>
    <x v="200"/>
    <s v="CAS6412806"/>
    <s v="Issue"/>
    <s v="Return / Replace / Scrap"/>
    <s v="Quantity"/>
    <m/>
    <m/>
    <s v="Schlage Residential"/>
    <s v="Lock"/>
    <x v="1"/>
    <x v="1"/>
    <s v="CREDIT FOR CONCEALED SHORTAGE_x000a__x000a_CREDIT OPEN BALANCE $264.01_x000a__x000a__x000a_PRODUCT AUTHORITY SHIPMENT_x000a__x000a_CARRIER : SAIA"/>
    <x v="9"/>
    <s v="14214229"/>
    <s v="1077583042"/>
    <s v="807945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8.791666666701"/>
    <m/>
    <m/>
    <s v="Credit Request"/>
    <s v="Resolved"/>
    <s v="Vicki Y Pleak"/>
    <s v="Vicki Y Pleak"/>
    <s v="Commercial"/>
    <s v="Schlage Residential Mechanical"/>
    <x v="4"/>
    <x v="10"/>
    <s v=""/>
    <s v="2026 / 02"/>
    <s v="Return / Replace / Scrap"/>
    <s v="Product"/>
  </r>
  <r>
    <x v="201"/>
    <s v="CAS6438830"/>
    <s v="Issue"/>
    <s v="Return / Replace / Scrap"/>
    <s v="Defective Product"/>
    <m/>
    <s v="Out of Box"/>
    <s v="Schlage Residential"/>
    <s v="Lock"/>
    <x v="2"/>
    <x v="0"/>
    <s v="NC RPL - DEFECTIVE_x000a_LINE 1 - QTY 1 - LOCK.F40.LAT.716.16-080.10-027.134_x000a_NON-Working F40 LAT 716 PO#_x000a__x000a__x000a_Good morning, will you please ship a F40 LAT 716 to the address below? It will not stay locked. _x000a__x000a_3001635_x000a_Oto Ciulis _x000a_12112 Riley Lane _x000a_San Diego, CA 92128"/>
    <x v="66"/>
    <s v="14197331"/>
    <s v="266666"/>
    <s v="8050865"/>
    <n v="1"/>
    <s v="Schlage Residential"/>
    <s v="Lock"/>
    <s v="F Knob/Lever"/>
    <s v="Ensenada"/>
    <n v="1"/>
    <s v="0311033~Functional Mechanical|1040~Funzionamento Meccanico|3082~Función mecánica|1036~Functional Mechanical"/>
    <s v="0201033~Cannot lock / Unlock|1040~Impossibile bloccare / sbloccare|3082~No se puede bloquear/desbloquear|1036~Impossible de verrouiller / Déverrouiller"/>
    <m/>
    <s v="Product"/>
    <m/>
    <s v="043156184934"/>
    <s v="F40"/>
    <m/>
    <m/>
    <n v="45952.833333333299"/>
    <m/>
    <m/>
    <s v="Replace Only"/>
    <s v="Resolved"/>
    <s v="Katie Ramsey"/>
    <s v="Katie Ramsey"/>
    <s v="Residential - Channel"/>
    <s v="Schlage Residential Mechanical"/>
    <x v="0"/>
    <x v="14"/>
    <s v=""/>
    <s v="2026 / 02"/>
    <s v="Return / Replace / Scrap"/>
    <s v="Product"/>
  </r>
  <r>
    <x v="202"/>
    <s v="CAS6438350"/>
    <s v="Issue"/>
    <s v="Return / Replace / Scrap"/>
    <s v="Defective Product"/>
    <m/>
    <s v="Reliability"/>
    <s v="Schlage Residential"/>
    <s v="Lock"/>
    <x v="3"/>
    <x v="0"/>
    <s v="NC RPL - DEFECTIVE_x000a_MK DOES NOT WORK_x000a_LINE 1 - QTY 2 - LOCK.B60.N.608.12-321.10-116.134.MK.DETAIL.C.48-180.2"/>
    <x v="69"/>
    <s v="14224918"/>
    <s v="112025"/>
    <s v="8107989"/>
    <n v="1"/>
    <s v="Schlage Residential"/>
    <s v="Lock"/>
    <s v="B"/>
    <s v="Ensenada"/>
    <n v="2"/>
    <s v="0311033~Functional Mechanical|1040~Funzionamento Meccanico|3082~Función mecánica|1036~Functional Mechanical"/>
    <s v="0201033~Cannot lock / Unlock|1040~Impossibile bloccare / sbloccare|3082~No se puede bloquear/desbloquear|1036~Impossible de verrouiller / Déverrouiller"/>
    <m/>
    <s v="Product"/>
    <m/>
    <s v="DBR-SLLK*9447295"/>
    <s v="B60"/>
    <m/>
    <m/>
    <n v="46007.791666666701"/>
    <m/>
    <m/>
    <s v="Replace Only"/>
    <s v="Active"/>
    <s v="Katie Ramsey"/>
    <s v="Katie Ramsey"/>
    <s v="Commercial"/>
    <s v="Schlage Residential Mechanical"/>
    <x v="0"/>
    <x v="14"/>
    <s v=""/>
    <s v="2026 / 02"/>
    <s v="Return / Replace / Scrap"/>
    <s v="Product"/>
  </r>
  <r>
    <x v="203"/>
    <s v="CAS6424686"/>
    <s v="Issue"/>
    <s v="Return / Replace / Scrap"/>
    <s v="Incorrect/Missing Product"/>
    <m/>
    <m/>
    <s v="Schlage Residential"/>
    <s v="Lock"/>
    <x v="3"/>
    <x v="0"/>
    <s v="NC RPL_x000a_ALL B81'S MISSING EXTERIOR PLATE_x000a_LINE 1 - QTY 35 - LOCK.B81.716.12-321.10-116.134_x000a_RPL PART - B600-118 715 N N SL MOUNTING PLATE BLANK_x000a__x000a_35 QTY - B81'S MISSING EXT PLATES_x000a__x000a_SEE ATTACHED PHOTO"/>
    <x v="70"/>
    <s v="14242131"/>
    <s v="367692-018"/>
    <s v="8156947"/>
    <n v="1"/>
    <s v="Schlage Residential"/>
    <s v="Lock"/>
    <s v="B"/>
    <s v="Ensenada"/>
    <n v="35"/>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s v="Product"/>
    <m/>
    <s v="043156280247"/>
    <m/>
    <m/>
    <m/>
    <n v="46058.791666666701"/>
    <m/>
    <m/>
    <s v="Replace Only"/>
    <s v="Resolved"/>
    <s v="Katie Ramsey"/>
    <s v="Katie Ramsey"/>
    <s v="Residential - Channel"/>
    <s v="Schlage Residential Mechanical"/>
    <x v="9"/>
    <x v="16"/>
    <s v=""/>
    <s v="2026 / 02"/>
    <s v="Return / Replace / Scrap"/>
    <s v="Product"/>
  </r>
  <r>
    <x v="204"/>
    <s v="CAS6417940"/>
    <s v="Issue"/>
    <s v="Return / Replace / Scrap"/>
    <s v="Incorrect/Missing Product"/>
    <m/>
    <m/>
    <s v="Schlage Residential"/>
    <s v="Lock"/>
    <x v="1"/>
    <x v="0"/>
    <s v="REPLACEMENT FOR INCORRECT ROSE ON PO 29079_x000a__x000a_CHARGED REPLACEMENT--_x000a_LINE 6-QTY 28--LOCK.F10.LAT.622.619.16-080.10-027.134 ((CUSTOMER REQUESTED SQUARE ROSE, NEEDS COLLINS ROSE))_x000a__x000a_RMA/RETURN--_x000a_line 6-qty 28--LOCK.F10.LAT.622.619.16-080.10-027.134"/>
    <x v="71"/>
    <s v="14249110"/>
    <s v="29079"/>
    <s v="8148306"/>
    <n v="6"/>
    <s v="Schlage Residential"/>
    <s v="Lock"/>
    <s v="F Handleset"/>
    <s v="Ensenada"/>
    <n v="28"/>
    <s v="0281033~Allegion Sent Incorrect Product / Part"/>
    <s v="9731033~Incorrect Part / Component|1036~Composant/pièce incorrect|1040~Componente errato"/>
    <m/>
    <s v="Product"/>
    <m/>
    <s v="043156499564"/>
    <m/>
    <m/>
    <m/>
    <n v="46051.791666666701"/>
    <m/>
    <m/>
    <s v="Replace Only"/>
    <s v="Resolved"/>
    <s v="Jessica Cook"/>
    <s v="Jessica Cook"/>
    <s v="Residential - Channel"/>
    <s v="Schlage Residential Mechanical"/>
    <x v="7"/>
    <x v="22"/>
    <s v=""/>
    <s v="2026 / 02"/>
    <s v="Return / Replace / Scrap"/>
    <s v="Product"/>
  </r>
  <r>
    <x v="205"/>
    <s v="CAS6450462"/>
    <s v="Issue"/>
    <s v="Return / Replace / Scrap"/>
    <s v="Defective Product"/>
    <m/>
    <s v="Reliability"/>
    <s v="Schlage Residential"/>
    <s v="Lock"/>
    <x v="2"/>
    <x v="0"/>
    <s v="NC RPL- Defective product_x000a__x000a_F40.PLY.622.16-080.10-027.134    QTY 5    16.10_x000a_043156112302_x000a_F10.LAT.622.16-080.10-027.134   QTY 1  25.20_x000a_043156479115_x000a_F40.GEO.619.16-080.10-027.134 QTY 2   16.10_x000a_043156999378_x000a__x000a_SHIP TO:_x000a_DOREEN ACKERSON_x000a_D&amp;M Industries   _x000a_4205 30TH AVE S_x000a_MOORHEAD, MN 56560"/>
    <x v="44"/>
    <s v="multiple"/>
    <s v="multiple"/>
    <m/>
    <m/>
    <s v="Schlage Residential"/>
    <s v="Lock"/>
    <s v="F Knob/Lever"/>
    <s v="Ensenada"/>
    <n v="2"/>
    <s v="0311033~Functional Mechanical|1040~Funzionamento Meccanico|3082~Función mecánica|1036~Functional Mechanical"/>
    <s v="0161033~Broken / Bad Parts|1040~Parti rotte / difettose|3082~Partes rotas / malas|1036~Pièces cassées / mauvaises"/>
    <m/>
    <s v="Product"/>
    <m/>
    <s v="F40.GEO.619.16-080.10-027.134"/>
    <s v="F40"/>
    <m/>
    <m/>
    <n v="45761.833333333299"/>
    <m/>
    <m/>
    <s v="Replace Only"/>
    <s v="Resolved"/>
    <s v="Lucresia James"/>
    <s v="Lucresia James"/>
    <s v="Residential - Channel"/>
    <s v="Schlage Residential Mechanical"/>
    <x v="0"/>
    <x v="0"/>
    <s v=""/>
    <s v="2026 / 02"/>
    <s v="Return / Replace / Scrap"/>
    <s v="Product"/>
  </r>
  <r>
    <x v="205"/>
    <s v="CAS6450462"/>
    <s v="Issue"/>
    <s v="Return / Replace / Scrap"/>
    <s v="Defective Product"/>
    <m/>
    <s v="Reliability"/>
    <s v="Schlage Residential"/>
    <s v="Lock"/>
    <x v="2"/>
    <x v="0"/>
    <s v="NC RPL- Defective product_x000a__x000a_F40.PLY.622.16-080.10-027.134    QTY 5    16.10_x000a_043156112302_x000a_F10.LAT.622.16-080.10-027.134   QTY 1  25.20_x000a_043156479115_x000a_F40.GEO.619.16-080.10-027.134 QTY 2   16.10_x000a_043156999378_x000a__x000a_SHIP TO:_x000a_DOREEN ACKERSON_x000a_D&amp;M Industries   _x000a_4205 30TH AVE S_x000a_MOORHEAD, MN 56560"/>
    <x v="44"/>
    <s v="multiple"/>
    <s v="multiple"/>
    <m/>
    <m/>
    <s v="Schlage Residential"/>
    <s v="Lock"/>
    <s v="F Knob/Lever"/>
    <s v="Ensenada"/>
    <n v="1"/>
    <s v="0311033~Functional Mechanical|1040~Funzionamento Meccanico|3082~Función mecánica|1036~Functional Mechanical"/>
    <s v="0161033~Broken / Bad Parts|1040~Parti rotte / difettose|3082~Partes rotas / malas|1036~Pièces cassées / mauvaises"/>
    <m/>
    <s v="Product"/>
    <m/>
    <s v="F10.LAT.622.16-080.10-027.134"/>
    <s v="F10"/>
    <m/>
    <m/>
    <n v="45761.833333333299"/>
    <m/>
    <m/>
    <s v="Replace Only"/>
    <s v="Resolved"/>
    <s v="Lucresia James"/>
    <s v="Lucresia James"/>
    <s v="Residential - Channel"/>
    <s v="Schlage Residential Mechanical"/>
    <x v="0"/>
    <x v="0"/>
    <s v=""/>
    <s v="2026 / 02"/>
    <s v="Return / Replace / Scrap"/>
    <s v="Product"/>
  </r>
  <r>
    <x v="205"/>
    <s v="CAS6450462"/>
    <s v="Issue"/>
    <s v="Return / Replace / Scrap"/>
    <s v="Defective Product"/>
    <m/>
    <s v="Reliability"/>
    <s v="Schlage Residential"/>
    <s v="Lock"/>
    <x v="2"/>
    <x v="0"/>
    <s v="NC RPL- Defective product_x000a__x000a_F40.PLY.622.16-080.10-027.134    QTY 5    16.10_x000a_043156112302_x000a_F10.LAT.622.16-080.10-027.134   QTY 1  25.20_x000a_043156479115_x000a_F40.GEO.619.16-080.10-027.134 QTY 2   16.10_x000a_043156999378_x000a__x000a_SHIP TO:_x000a_DOREEN ACKERSON_x000a_D&amp;M Industries   _x000a_4205 30TH AVE S_x000a_MOORHEAD, MN 56560"/>
    <x v="44"/>
    <s v="multiple"/>
    <s v="multiple"/>
    <m/>
    <m/>
    <s v="Schlage Residential"/>
    <s v="Lock"/>
    <s v="F Knob/Lever"/>
    <s v="Ensenada"/>
    <n v="5"/>
    <s v="0311033~Functional Mechanical|1040~Funzionamento Meccanico|3082~Función mecánica|1036~Functional Mechanical"/>
    <s v="0161033~Broken / Bad Parts|1040~Parti rotte / difettose|3082~Partes rotas / malas|1036~Pièces cassées / mauvaises"/>
    <m/>
    <s v="Product"/>
    <m/>
    <s v="F40.PLY.622.16-080.10-027.134"/>
    <s v="F40"/>
    <m/>
    <m/>
    <n v="45761.833333333299"/>
    <m/>
    <m/>
    <s v="Replace Only"/>
    <s v="Resolved"/>
    <s v="Lucresia James"/>
    <s v="Lucresia James"/>
    <s v="Residential - Channel"/>
    <s v="Schlage Residential Mechanical"/>
    <x v="0"/>
    <x v="0"/>
    <s v=""/>
    <s v="2026 / 02"/>
    <s v="Return / Replace / Scrap"/>
    <s v="Product"/>
  </r>
  <r>
    <x v="206"/>
    <s v="CAS6450150"/>
    <s v="Issue"/>
    <s v="Return / Replace / Scrap"/>
    <s v="Incorrect/Missing Product"/>
    <m/>
    <m/>
    <s v="Schlage Residential"/>
    <s v="Lock"/>
    <x v="2"/>
    <x v="0"/>
    <s v="RMA RTN for credit- Charged RPL and NC RPL- OE error and short ship_x000a__x000a_F51A.LAT.622.GRW..16-086.10-027.134.KA4.C.48-180.2  QTY 4  54.25_x000a_043156081677_x000a_F10.GEO.716.16-080.10-027.134  QTY 17   15.05_x000a_043156886630_x000a__x000a_Wrong product OE error_x000a_F10.ACC.620.16-080.10-027.134  QTY 39   25.20 + 63.88_x000a_043156793235_x000a_Should be_x000a_F10 ACC 622   QTY 39_x000a__x000a_TOLEDO_941829_x000a_3100 HILL AVE_x000a_TOLEDO, OH, 43607"/>
    <x v="72"/>
    <s v="14262106"/>
    <s v="TO0000538674"/>
    <s v="8157396"/>
    <m/>
    <s v="Schlage Residential"/>
    <s v="Lock"/>
    <s v="F Knob/Lever"/>
    <s v="Ensenada"/>
    <n v="17"/>
    <s v="0213082~Allegion no envió un producto/pieza|1040~(Alle) Spedito Articolo/Componente mancante|1036~Allegion a envoyé un produit ou une pièce manquante|1033~Allegion Sent Missing Product / Part"/>
    <s v="9741040~Prodotto Mancante|1033~Missing Product|1036~Produit manquant"/>
    <m/>
    <s v="Product"/>
    <m/>
    <s v="F10.GEO.716.16-080.10-027.134"/>
    <m/>
    <m/>
    <m/>
    <n v="46058.791666666701"/>
    <m/>
    <m/>
    <s v="Replace Only"/>
    <s v="Active"/>
    <s v="Lucresia James"/>
    <s v="Lucresia James"/>
    <s v="Residential - Channel"/>
    <s v="Schlage Residential Mechanical"/>
    <x v="9"/>
    <x v="11"/>
    <s v=""/>
    <s v="2026 / 02"/>
    <s v="Return / Replace / Scrap"/>
    <s v="Product"/>
  </r>
  <r>
    <x v="206"/>
    <s v="CAS6450150"/>
    <s v="Issue"/>
    <s v="Return / Replace / Scrap"/>
    <s v="Incorrect/Missing Product"/>
    <m/>
    <m/>
    <s v="Schlage Residential"/>
    <s v="Lock"/>
    <x v="2"/>
    <x v="0"/>
    <s v="RMA RTN for credit- Charged RPL and NC RPL- OE error and short ship_x000a__x000a_F51A.LAT.622.GRW..16-086.10-027.134.KA4.C.48-180.2  QTY 4  54.25_x000a_043156081677_x000a_F10.GEO.716.16-080.10-027.134  QTY 17   15.05_x000a_043156886630_x000a__x000a_Wrong product OE error_x000a_F10.ACC.620.16-080.10-027.134  QTY 39   25.20 + 63.88_x000a_043156793235_x000a_Should be_x000a_F10 ACC 622   QTY 39_x000a__x000a_TOLEDO_941829_x000a_3100 HILL AVE_x000a_TOLEDO, OH, 43607"/>
    <x v="72"/>
    <s v="14262106"/>
    <s v="TO0000538674"/>
    <s v="8157396"/>
    <m/>
    <s v="Schlage Residential"/>
    <s v="Lock"/>
    <s v="F Knob/Lever"/>
    <s v="Ensenada"/>
    <n v="4"/>
    <s v="0213082~Allegion no envió un producto/pieza|1040~(Alle) Spedito Articolo/Componente mancante|1036~Allegion a envoyé un produit ou une pièce manquante|1033~Allegion Sent Missing Product / Part"/>
    <s v="9741040~Prodotto Mancante|1033~Missing Product|1036~Produit manquant"/>
    <m/>
    <s v="Product"/>
    <m/>
    <s v="F51A.LAT.622.GRW..16-086.10-027.134.KA4.C.48-180.2"/>
    <m/>
    <m/>
    <m/>
    <n v="46058.791666666701"/>
    <m/>
    <m/>
    <s v="Replace Only"/>
    <s v="Active"/>
    <s v="Lucresia James"/>
    <s v="Lucresia James"/>
    <s v="Residential - Channel"/>
    <s v="Schlage Residential Mechanical"/>
    <x v="9"/>
    <x v="11"/>
    <s v=""/>
    <s v="2026 / 02"/>
    <s v="Return / Replace / Scrap"/>
    <s v="Product"/>
  </r>
  <r>
    <x v="206"/>
    <s v="CAS6450150"/>
    <s v="Issue"/>
    <s v="Return / Replace / Scrap"/>
    <s v="Incorrect/Missing Product"/>
    <m/>
    <m/>
    <s v="Schlage Residential"/>
    <s v="Lock"/>
    <x v="2"/>
    <x v="0"/>
    <s v="RMA RTN for credit- Charged RPL and NC RPL- OE error and short ship_x000a__x000a_F51A.LAT.622.GRW..16-086.10-027.134.KA4.C.48-180.2  QTY 4  54.25_x000a_043156081677_x000a_F10.GEO.716.16-080.10-027.134  QTY 17   15.05_x000a_043156886630_x000a__x000a_Wrong product OE error_x000a_F10.ACC.620.16-080.10-027.134  QTY 39   25.20 + 63.88_x000a_043156793235_x000a_Should be_x000a_F10 ACC 622   QTY 39_x000a__x000a_TOLEDO_941829_x000a_3100 HILL AVE_x000a_TOLEDO, OH, 43607"/>
    <x v="72"/>
    <s v="14262106"/>
    <s v="TO0000538674"/>
    <s v="8157396"/>
    <m/>
    <s v="Schlage Residential"/>
    <s v="Lock"/>
    <s v="F Knob/Lever"/>
    <s v="Ensenada"/>
    <n v="39"/>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s v="Order Management"/>
    <m/>
    <s v="F10.ACC.620.16-080.10-027.134"/>
    <m/>
    <m/>
    <m/>
    <n v="46058.791666666701"/>
    <m/>
    <m/>
    <s v="Return and Replace"/>
    <s v="Active"/>
    <s v="Lucresia James"/>
    <s v="Lucresia James"/>
    <s v="Residential - Channel"/>
    <s v="Schlage Residential Mechanical"/>
    <x v="10"/>
    <x v="12"/>
    <s v=""/>
    <s v="2026 / 02"/>
    <s v="Return / Replace / Scrap"/>
    <s v="Customer Care"/>
  </r>
  <r>
    <x v="207"/>
    <s v="CAS6441796"/>
    <s v="Issue"/>
    <s v="Credit / Debit Request"/>
    <s v="Pricing Adjustment"/>
    <m/>
    <m/>
    <s v="Schlage Residential"/>
    <s v="Lock"/>
    <x v="3"/>
    <x v="0"/>
    <s v="LINE 6, QTY 8: LOCK.BE467.F.GRW.622.12-398.10-116.134_x000a_-------------------------------------------------------------_x000a_Selected credit reason: Other_x000a_Is there anything else we should know about this request: This order seems to be stuck at your facility. The customer has now cancelled.      thank you_x000a_Email: gary.mcneice@bannersolutions.com_x000a_Phone Number: (503) 703-6710_x000a_Preferred Contact Method: Email"/>
    <x v="28"/>
    <s v="14267127"/>
    <s v="6378558"/>
    <s v="8163161"/>
    <m/>
    <m/>
    <m/>
    <m/>
    <m/>
    <m/>
    <m/>
    <m/>
    <m/>
    <m/>
    <m/>
    <s v="043156643707"/>
    <m/>
    <m/>
    <m/>
    <m/>
    <m/>
    <m/>
    <s v="Credit Request"/>
    <s v="Resolved"/>
    <s v="Portal Cases"/>
    <s v="Janelta Crawford"/>
    <s v="Residential - Channel"/>
    <s v="Schlage Residential Mechanical"/>
    <x v="8"/>
    <x v="9"/>
    <s v=""/>
    <s v="2026 / 02"/>
    <s v="Credit / Debit Request"/>
    <s v="Customer Care"/>
  </r>
  <r>
    <x v="208"/>
    <s v="CAS6423578"/>
    <s v="Issue"/>
    <s v="Return / Replace / Scrap"/>
    <s v="Shipping"/>
    <m/>
    <m/>
    <s v="Schlage Residential"/>
    <s v="Lock"/>
    <x v="2"/>
    <x v="1"/>
    <s v="RMA for damaged and refused product / Schlage Res. / Orgill / 3000807_x000a_No credit due_x000a_Line #23 Damaged 4 of the F10 V ACC 619 / 043156791422 / $21.11_x000a_Line # 38 Damaged 4 of the F51 V FLA 505 / 043156792191 $31.85_x000a_Per factory Is one individual box of each- not 4. _x000a__x000a_Please return  free astray ._x000a_Curt,_x000a_               Please provide CAS # if one not already created._x000a_Orgill_x000a_                Order # SO03255601_x000a_                Po # 73797506_x000a_                SAIA Pro # 108420486805"/>
    <x v="30"/>
    <s v="14260001 - SO03255601"/>
    <s v="73797506"/>
    <s v="8155473"/>
    <n v="38"/>
    <s v="Schlage Residential"/>
    <s v="Lock"/>
    <s v="F Knob/Lever"/>
    <s v="Olathe"/>
    <n v="1"/>
    <s v="0223082~Dañado en el Transporte|1040~Danneggiato Durante il Trasporto|1033~Damaged in Transit|1036~Endommagé pendant le transport"/>
    <s v="0471040~Danneggiato Durante il Trasporto|3082~Dañado en el transporte|1033~Damaged in Transit|1036~Endommagé pendant le transport"/>
    <m/>
    <s v="Carrier"/>
    <m/>
    <s v="043156792191 / 881-1085"/>
    <m/>
    <m/>
    <m/>
    <n v="46057.791666666701"/>
    <m/>
    <m/>
    <s v="Return Only"/>
    <s v="Resolved"/>
    <s v="Curt Moore"/>
    <s v="Curt Moore"/>
    <s v="Residential - Channel"/>
    <s v="Schlage Residential Mechanical"/>
    <x v="13"/>
    <x v="15"/>
    <s v=""/>
    <s v="2026 / 02"/>
    <s v="Return / Replace / Scrap"/>
    <s v="Product"/>
  </r>
  <r>
    <x v="208"/>
    <s v="CAS6423578"/>
    <s v="Issue"/>
    <s v="Return / Replace / Scrap"/>
    <s v="Shipping"/>
    <m/>
    <m/>
    <s v="Schlage Residential"/>
    <s v="Lock"/>
    <x v="2"/>
    <x v="1"/>
    <s v="RMA for damaged and refused product / Schlage Res. / Orgill / 3000807_x000a_No credit due_x000a_Line #23 Damaged 4 of the F10 V ACC 619 / 043156791422 / $21.11_x000a_Line # 38 Damaged 4 of the F51 V FLA 505 / 043156792191 $31.85_x000a_Per factory Is one individual box of each- not 4. _x000a__x000a_Please return  free astray ._x000a_Curt,_x000a_               Please provide CAS # if one not already created._x000a_Orgill_x000a_                Order # SO03255601_x000a_                Po # 73797506_x000a_                SAIA Pro # 108420486805"/>
    <x v="30"/>
    <s v="14260001 - SO03255601"/>
    <s v="73797506"/>
    <s v="8155473"/>
    <n v="23"/>
    <s v="Schlage Residential"/>
    <s v="Lock"/>
    <s v="F Knob/Lever"/>
    <s v="Olathe"/>
    <n v="1"/>
    <s v="0223082~Dañado en el Transporte|1040~Danneggiato Durante il Trasporto|1033~Damaged in Transit|1036~Endommagé pendant le transport"/>
    <s v="0471040~Danneggiato Durante il Trasporto|3082~Dañado en el transporte|1033~Damaged in Transit|1036~Endommagé pendant le transport"/>
    <m/>
    <s v="Carrier"/>
    <m/>
    <s v="043156791422 / 869-9449"/>
    <m/>
    <m/>
    <m/>
    <n v="46057.791666666701"/>
    <m/>
    <m/>
    <s v="Return Only"/>
    <s v="Resolved"/>
    <s v="Curt Moore"/>
    <s v="Curt Moore"/>
    <s v="Residential - Channel"/>
    <s v="Schlage Residential Mechanical"/>
    <x v="13"/>
    <x v="15"/>
    <s v=""/>
    <s v="2026 / 02"/>
    <s v="Return / Replace / Scrap"/>
    <s v="Product"/>
  </r>
  <r>
    <x v="209"/>
    <s v="CAS6419771"/>
    <s v="Issue"/>
    <s v="Return / Replace / Scrap"/>
    <s v="Defective Product"/>
    <m/>
    <s v="Out of Box"/>
    <s v="Schlage Residential"/>
    <s v="Lock"/>
    <x v="2"/>
    <x v="0"/>
    <s v="Top Notch has house installation with BWE 608 and none of the roses will stay on, regardless of function. Per P/M B Madore, he has not heard of this being an issue. We will NC RPL and obtain samples of each function to send to Jaime Sandoval at the Security, CO plant_x000a_5297005/5297857 _x000a_F10BWE608 QTY 7  194555109063_x000a_F40BWE608 QTY 12 194555155480_x000a_F51ABWE608 QTY 2 043156047390_x000a_F170BWE608 QTY 12  194555155497"/>
    <x v="2"/>
    <s v="*"/>
    <m/>
    <m/>
    <m/>
    <s v="Schlage Residential"/>
    <s v="Lock"/>
    <s v="F Knob/Lever"/>
    <s v="Ensenada"/>
    <n v="12"/>
    <s v="0311033~Functional Mechanical|1040~Funzionamento Meccanico|3082~Función mecánica|1036~Functional Mechanical"/>
    <s v="9691033~Installation / Removal / Prep|1036~Installation / Préparation|1040~Installazione / Prep"/>
    <m/>
    <s v="Product"/>
    <m/>
    <m/>
    <s v="F170"/>
    <m/>
    <m/>
    <n v="46061.791666666701"/>
    <m/>
    <m/>
    <s v="Return and Replace"/>
    <s v="Resolved"/>
    <s v="Kris Learned"/>
    <s v="Kris Learned"/>
    <s v="Residential - Channel"/>
    <s v="Schlage Residential Mechanical"/>
    <x v="0"/>
    <x v="30"/>
    <s v=""/>
    <s v="2026 / 02"/>
    <s v="Return / Replace / Scrap"/>
    <s v="Product"/>
  </r>
  <r>
    <x v="209"/>
    <s v="CAS6419771"/>
    <s v="Issue"/>
    <s v="Return / Replace / Scrap"/>
    <s v="Defective Product"/>
    <m/>
    <s v="Out of Box"/>
    <s v="Schlage Residential"/>
    <s v="Lock"/>
    <x v="2"/>
    <x v="0"/>
    <s v="Top Notch has house installation with BWE 608 and none of the roses will stay on, regardless of function. Per P/M B Madore, he has not heard of this being an issue. We will NC RPL and obtain samples of each function to send to Jaime Sandoval at the Security, CO plant_x000a_5297005/5297857 _x000a_F10BWE608 QTY 7  194555109063_x000a_F40BWE608 QTY 12 194555155480_x000a_F51ABWE608 QTY 2 043156047390_x000a_F170BWE608 QTY 12  194555155497"/>
    <x v="2"/>
    <s v="*"/>
    <m/>
    <m/>
    <m/>
    <s v="Schlage Residential"/>
    <s v="Lock"/>
    <s v="F Knob/Lever"/>
    <s v="Ensenada"/>
    <n v="2"/>
    <s v="0311033~Functional Mechanical|1040~Funzionamento Meccanico|3082~Función mecánica|1036~Functional Mechanical"/>
    <s v="9691033~Installation / Removal / Prep|1036~Installation / Préparation|1040~Installazione / Prep"/>
    <m/>
    <s v="Product"/>
    <m/>
    <m/>
    <s v="F51"/>
    <m/>
    <m/>
    <n v="46061.791666666701"/>
    <m/>
    <m/>
    <s v="Return and Replace"/>
    <s v="Resolved"/>
    <s v="Kris Learned"/>
    <s v="Kris Learned"/>
    <s v="Residential - Channel"/>
    <s v="Schlage Residential Mechanical"/>
    <x v="0"/>
    <x v="30"/>
    <s v=""/>
    <s v="2026 / 02"/>
    <s v="Return / Replace / Scrap"/>
    <s v="Product"/>
  </r>
  <r>
    <x v="209"/>
    <s v="CAS6419771"/>
    <s v="Issue"/>
    <s v="Return / Replace / Scrap"/>
    <s v="Defective Product"/>
    <m/>
    <s v="Out of Box"/>
    <s v="Schlage Residential"/>
    <s v="Lock"/>
    <x v="2"/>
    <x v="0"/>
    <s v="Top Notch has house installation with BWE 608 and none of the roses will stay on, regardless of function. Per P/M B Madore, he has not heard of this being an issue. We will NC RPL and obtain samples of each function to send to Jaime Sandoval at the Security, CO plant_x000a_5297005/5297857 _x000a_F10BWE608 QTY 7  194555109063_x000a_F40BWE608 QTY 12 194555155480_x000a_F51ABWE608 QTY 2 043156047390_x000a_F170BWE608 QTY 12  194555155497"/>
    <x v="2"/>
    <s v="*"/>
    <m/>
    <m/>
    <m/>
    <s v="Schlage Residential"/>
    <s v="Lock"/>
    <s v="F Knob/Lever"/>
    <s v="Ensenada"/>
    <n v="12"/>
    <s v="0311033~Functional Mechanical|1040~Funzionamento Meccanico|3082~Función mecánica|1036~Functional Mechanical"/>
    <s v="9691033~Installation / Removal / Prep|1036~Installation / Préparation|1040~Installazione / Prep"/>
    <m/>
    <s v="Product"/>
    <m/>
    <m/>
    <s v="F40"/>
    <m/>
    <m/>
    <n v="46061.791666666701"/>
    <m/>
    <m/>
    <s v="Return and Replace"/>
    <s v="Resolved"/>
    <s v="Kris Learned"/>
    <s v="Kris Learned"/>
    <s v="Residential - Channel"/>
    <s v="Schlage Residential Mechanical"/>
    <x v="0"/>
    <x v="30"/>
    <s v=""/>
    <s v="2026 / 02"/>
    <s v="Return / Replace / Scrap"/>
    <s v="Product"/>
  </r>
  <r>
    <x v="209"/>
    <s v="CAS6419771"/>
    <s v="Issue"/>
    <s v="Return / Replace / Scrap"/>
    <s v="Defective Product"/>
    <m/>
    <s v="Out of Box"/>
    <s v="Schlage Residential"/>
    <s v="Lock"/>
    <x v="2"/>
    <x v="0"/>
    <s v="Top Notch has house installation with BWE 608 and none of the roses will stay on, regardless of function. Per P/M B Madore, he has not heard of this being an issue. We will NC RPL and obtain samples of each function to send to Jaime Sandoval at the Security, CO plant_x000a_5297005/5297857 _x000a_F10BWE608 QTY 7  194555109063_x000a_F40BWE608 QTY 12 194555155480_x000a_F51ABWE608 QTY 2 043156047390_x000a_F170BWE608 QTY 12  194555155497"/>
    <x v="2"/>
    <s v="*"/>
    <m/>
    <m/>
    <m/>
    <s v="Schlage Residential"/>
    <s v="Lock"/>
    <s v="F Knob/Lever"/>
    <s v="Ensenada"/>
    <n v="7"/>
    <s v="0311033~Functional Mechanical|1040~Funzionamento Meccanico|3082~Función mecánica|1036~Functional Mechanical"/>
    <s v="9691033~Installation / Removal / Prep|1036~Installation / Préparation|1040~Installazione / Prep"/>
    <m/>
    <s v="Product"/>
    <m/>
    <m/>
    <s v="F10"/>
    <m/>
    <m/>
    <n v="46061.791666666701"/>
    <m/>
    <m/>
    <s v="Return and Replace"/>
    <s v="Resolved"/>
    <s v="Kris Learned"/>
    <s v="Kris Learned"/>
    <s v="Residential - Channel"/>
    <s v="Schlage Residential Mechanical"/>
    <x v="0"/>
    <x v="30"/>
    <s v=""/>
    <s v="2026 / 02"/>
    <s v="Return / Replace / Scrap"/>
    <s v="Product"/>
  </r>
  <r>
    <x v="210"/>
    <s v="CAS6418143"/>
    <s v="Issue"/>
    <s v="Return / Replace / Scrap"/>
    <s v="Incorrect/Missing Product"/>
    <m/>
    <m/>
    <s v="Schlage Residential"/>
    <s v="Lock"/>
    <x v="3"/>
    <x v="0"/>
    <s v="NC Replace:_x000a__x000a_Line 5 Qty 10 - 61-073 632 N N SL (KIT THICK DOOR B60)_x000a__x000a_Ship to:_x000a_BANNER SOLUTIONS_x000a_32 INDUSTRIAL RD_x000a_STE 102_x000a_ELIZABETHTOWN, PA, 17022, US_x000a__x000a_Short shipment_x000a_------------------------------_x000a_Selected primary Product Type: Accessories_x000a_Do you also need to update the Ship To Address on your order?: No_x000a_The original ship-to address is saved on the shipping tab._x000a_Email: ashley.grant@bannersolutions.com_x000a_Phone Number: 8883620750_x000a_Preferred Contact Method: Email"/>
    <x v="28"/>
    <s v="14224830"/>
    <s v="6373155"/>
    <s v="8094925"/>
    <n v="5"/>
    <s v="Schlage Residential"/>
    <s v="Lock"/>
    <s v="B"/>
    <s v="Ensenada"/>
    <n v="10"/>
    <s v="0213082~Allegion no envió un producto/pieza|1040~(Alle) Spedito Articolo/Componente mancante|1036~Allegion a envoyé un produit ou une pièce manquante|1033~Allegion Sent Missing Product / Part"/>
    <s v="9741040~Prodotto Mancante|1033~Missing Product|1036~Produit manquant"/>
    <m/>
    <s v="Product"/>
    <m/>
    <s v="043156203789"/>
    <s v="B60"/>
    <m/>
    <m/>
    <n v="45994.791666666701"/>
    <m/>
    <m/>
    <s v="Replace Only"/>
    <s v="Resolved"/>
    <s v="Portal Cases"/>
    <s v="Brittney Waterhouse"/>
    <s v="Commercial"/>
    <s v="Schlage Residential Mechanical"/>
    <x v="9"/>
    <x v="11"/>
    <s v=""/>
    <s v="2026 / 02"/>
    <s v="Return / Replace / Scrap"/>
    <s v="Product"/>
  </r>
  <r>
    <x v="211"/>
    <s v="CAS6415595"/>
    <s v="Issue"/>
    <s v="Return / Replace / Scrap"/>
    <s v="Quantity"/>
    <m/>
    <m/>
    <s v="Schlage Residential"/>
    <s v="Lock"/>
    <x v="1"/>
    <x v="1"/>
    <s v="CREDIT FOR CONCEALED SHORTAGE_x000a__x000a_CREDIT OPEN BALANCE : $209.67_x000a__x000a_IFC SHIPMENT_x000a__x000a_CARRIER : USA"/>
    <x v="9"/>
    <s v="SO03188912"/>
    <s v="1080396340"/>
    <s v="4560545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5.791666666701"/>
    <m/>
    <m/>
    <s v="Credit Request"/>
    <s v="Resolved"/>
    <s v="Vicki Y Pleak"/>
    <s v="Vicki Y Pleak"/>
    <s v="Commercial"/>
    <s v="Schlage Residential Mechanical"/>
    <x v="4"/>
    <x v="10"/>
    <s v=""/>
    <s v="2026 / 02"/>
    <s v="Return / Replace / Scrap"/>
    <s v="Product"/>
  </r>
  <r>
    <x v="212"/>
    <s v="CAS6415572"/>
    <s v="Issue"/>
    <s v="Return / Replace / Scrap"/>
    <s v="Quantity"/>
    <m/>
    <m/>
    <s v="Schlage Residential"/>
    <s v="Lock"/>
    <x v="1"/>
    <x v="1"/>
    <s v="CREDIT FOR CONCEALED SHORTAGE_x000a__x000a_CREDIT OPEN BALANCE : $873.01_x000a__x000a_IFC SHIPMENT_x000a__x000a_CARRIER : USA"/>
    <x v="9"/>
    <s v="SO03186026"/>
    <s v="1079692170"/>
    <s v="4560429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4.791666666701"/>
    <m/>
    <m/>
    <s v="Credit Request"/>
    <s v="Resolved"/>
    <s v="Vicki Y Pleak"/>
    <s v="Vicki Y Pleak"/>
    <s v="Commercial"/>
    <s v="Schlage Residential Mechanical"/>
    <x v="4"/>
    <x v="10"/>
    <s v=""/>
    <s v="2026 / 02"/>
    <s v="Return / Replace / Scrap"/>
    <s v="Product"/>
  </r>
  <r>
    <x v="213"/>
    <s v="CAS6415550"/>
    <s v="Issue"/>
    <s v="Return / Replace / Scrap"/>
    <s v="Quantity"/>
    <m/>
    <m/>
    <s v="Schlage Residential"/>
    <s v="Lock"/>
    <x v="1"/>
    <x v="1"/>
    <s v="CREDIT FOR CONCEALED SHORTAGE_x000a__x000a_CREDIT OPEN BALANCE : $665.28_x000a__x000a_IFC SHIPMENT_x000a__x000a_CARRIER : USA"/>
    <x v="9"/>
    <s v="SO03184174"/>
    <s v="1079349011"/>
    <s v="4560021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0.791666666701"/>
    <m/>
    <m/>
    <s v="Credit Request"/>
    <s v="Resolved"/>
    <s v="Vicki Y Pleak"/>
    <s v="Vicki Y Pleak"/>
    <s v="Commercial"/>
    <s v="Schlage Residential Mechanical"/>
    <x v="4"/>
    <x v="10"/>
    <s v=""/>
    <s v="2026 / 02"/>
    <s v="Return / Replace / Scrap"/>
    <s v="Product"/>
  </r>
  <r>
    <x v="214"/>
    <s v="CAS6415532"/>
    <s v="Issue"/>
    <s v="Return / Replace / Scrap"/>
    <s v="Quantity"/>
    <m/>
    <m/>
    <s v="Schlage Residential"/>
    <s v="Lock"/>
    <x v="1"/>
    <x v="1"/>
    <s v="CREDIT FOR CONCEALED SHORTAGE_x000a__x000a_CREDIT OPEN BALANCE : $220.61_x000a__x000a_IFC SHIPMENT_x000a__x000a_CARRIER : USA"/>
    <x v="9"/>
    <s v="SO03182405"/>
    <s v="1078995913"/>
    <s v="4559696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9.791666666701"/>
    <m/>
    <m/>
    <s v="Credit Request"/>
    <s v="Resolved"/>
    <s v="Vicki Y Pleak"/>
    <s v="Vicki Y Pleak"/>
    <s v="Commercial"/>
    <s v="Schlage Residential Mechanical"/>
    <x v="4"/>
    <x v="10"/>
    <s v=""/>
    <s v="2026 / 02"/>
    <s v="Return / Replace / Scrap"/>
    <s v="Product"/>
  </r>
  <r>
    <x v="215"/>
    <s v="CAS6415508"/>
    <s v="Issue"/>
    <s v="Return / Replace / Scrap"/>
    <s v="Quantity"/>
    <m/>
    <m/>
    <s v="Schlage Residential"/>
    <s v="Lock"/>
    <x v="1"/>
    <x v="1"/>
    <s v="CREDIT FOR CONCEALED SHORTAGE_x000a__x000a_CREDIT OPEN BALANCE : $262.30_x000a__x000a_IFC SHIPMENT_x000a__x000a_CARRIER : USA"/>
    <x v="9"/>
    <s v="SO03186022"/>
    <s v="1079691985"/>
    <s v="4560425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4.791666666701"/>
    <m/>
    <m/>
    <s v="Credit Request"/>
    <s v="Resolved"/>
    <s v="Vicki Y Pleak"/>
    <s v="Vicki Y Pleak"/>
    <s v="Commercial"/>
    <s v="Schlage Residential Mechanical"/>
    <x v="4"/>
    <x v="10"/>
    <s v=""/>
    <s v="2026 / 02"/>
    <s v="Return / Replace / Scrap"/>
    <s v="Product"/>
  </r>
  <r>
    <x v="216"/>
    <s v="CAS6415489"/>
    <s v="Issue"/>
    <s v="Return / Replace / Scrap"/>
    <s v="Quantity"/>
    <m/>
    <m/>
    <s v="Schlage Residential"/>
    <s v="Lock"/>
    <x v="1"/>
    <x v="1"/>
    <s v="CREDIT FOR CONCEALED SHORTAGE_x000a__x000a_CREDIT OPEN BALANCE : $384.29_x000a__x000a_IFC SHIPMENT_x000a__x000a_CARRIER : USA"/>
    <x v="9"/>
    <s v="SO03182399"/>
    <s v="1078996069"/>
    <s v="4559693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9.791666666701"/>
    <m/>
    <m/>
    <s v="Credit Request"/>
    <s v="Resolved"/>
    <s v="Vicki Y Pleak"/>
    <s v="Vicki Y Pleak"/>
    <s v="Commercial"/>
    <s v="Schlage Residential Mechanical"/>
    <x v="4"/>
    <x v="10"/>
    <s v=""/>
    <s v="2026 / 02"/>
    <s v="Return / Replace / Scrap"/>
    <s v="Product"/>
  </r>
  <r>
    <x v="217"/>
    <s v="CAS6415454"/>
    <s v="Issue"/>
    <s v="Return / Replace / Scrap"/>
    <s v="Quantity"/>
    <m/>
    <m/>
    <s v="Schlage Residential"/>
    <s v="Lock"/>
    <x v="1"/>
    <x v="1"/>
    <s v="CREDIT FOR CONCEALED SHORTAGE_x000a__x000a_CREDIT OPEN BALANCE : $895.12_x000a__x000a_IFC SHIPMENT_x000a__x000a_CARRIER : USA"/>
    <x v="9"/>
    <s v="SO03180544"/>
    <s v="1078354240"/>
    <s v="4559555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8.791666666701"/>
    <m/>
    <m/>
    <s v="Credit Request"/>
    <s v="Resolved"/>
    <s v="Vicki Y Pleak"/>
    <s v="Vicki Y Pleak"/>
    <s v="Commercial"/>
    <s v="Schlage Residential Mechanical"/>
    <x v="4"/>
    <x v="10"/>
    <s v=""/>
    <s v="2026 / 02"/>
    <s v="Return / Replace / Scrap"/>
    <s v="Product"/>
  </r>
  <r>
    <x v="218"/>
    <s v="CAS6415429"/>
    <s v="Issue"/>
    <s v="Return / Replace / Scrap"/>
    <s v="Quantity"/>
    <m/>
    <m/>
    <s v="Schlage Residential"/>
    <s v="Lock"/>
    <x v="1"/>
    <x v="1"/>
    <s v="CREDIT FOR CONCEALED SHORTAGE_x000a__x000a_CREDIT OPEN BALANCE : $209.67_x000a__x000a_IFC SHIPMENT_x000a__x000a_CARRIER : USA"/>
    <x v="9"/>
    <s v="SO03185989"/>
    <s v="1079691632"/>
    <s v="4560425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4.791666666701"/>
    <m/>
    <m/>
    <s v="Credit Request"/>
    <s v="Resolved"/>
    <s v="Vicki Y Pleak"/>
    <s v="Vicki Y Pleak"/>
    <s v="Commercial"/>
    <s v="Schlage Residential Mechanical"/>
    <x v="4"/>
    <x v="10"/>
    <s v=""/>
    <s v="2026 / 02"/>
    <s v="Return / Replace / Scrap"/>
    <s v="Product"/>
  </r>
  <r>
    <x v="219"/>
    <s v="CAS6415394"/>
    <s v="Issue"/>
    <s v="Return / Replace / Scrap"/>
    <s v="Quantity"/>
    <m/>
    <m/>
    <s v="Schlage Residential"/>
    <s v="Lock"/>
    <x v="1"/>
    <x v="1"/>
    <s v="CREDIT FOR CONCEALED SHORTAGE_x000a__x000a_CREDIT OPEN BALANCE : $460.28_x000a__x000a_IFC SHIPMENT_x000a__x000a_CARRIER : USA"/>
    <x v="9"/>
    <s v="SO03184146"/>
    <s v="1079340988"/>
    <s v="4560020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80.791666666701"/>
    <m/>
    <m/>
    <s v="Credit Request"/>
    <s v="Resolved"/>
    <s v="Vicki Y Pleak"/>
    <s v="Vicki Y Pleak"/>
    <s v="Commercial"/>
    <s v="Schlage Residential Mechanical"/>
    <x v="4"/>
    <x v="10"/>
    <s v=""/>
    <s v="2026 / 02"/>
    <s v="Return / Replace / Scrap"/>
    <s v="Product"/>
  </r>
  <r>
    <x v="220"/>
    <s v="CAS6415371"/>
    <s v="Issue"/>
    <s v="Return / Replace / Scrap"/>
    <s v="Quantity"/>
    <m/>
    <m/>
    <s v="Schlage Residential"/>
    <s v="Lock"/>
    <x v="1"/>
    <x v="1"/>
    <s v="CREDIT FOR CONCEALED SHORTAGE_x000a__x000a_CREDIT OPEN BALANCE : $489.54_x000a__x000a_IFC SHIPMENT_x000a__x000a_CARRIER : USA"/>
    <x v="9"/>
    <s v="SO03182630"/>
    <s v="1078996971"/>
    <s v="45597486"/>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9.791666666701"/>
    <m/>
    <m/>
    <s v="Credit Request"/>
    <s v="Resolved"/>
    <s v="Vicki Y Pleak"/>
    <s v="Vicki Y Pleak"/>
    <s v="Commercial"/>
    <s v="Schlage Residential Mechanical"/>
    <x v="4"/>
    <x v="10"/>
    <s v=""/>
    <s v="2026 / 02"/>
    <s v="Return / Replace / Scrap"/>
    <s v="Product"/>
  </r>
  <r>
    <x v="221"/>
    <s v="CAS6415346"/>
    <s v="Issue"/>
    <s v="Return / Replace / Scrap"/>
    <s v="Quantity"/>
    <m/>
    <m/>
    <s v="Schlage Residential"/>
    <s v="Lock"/>
    <x v="1"/>
    <x v="1"/>
    <s v="CREDIT FOR CONCEALED SHORTAGE_x000a__x000a_CREDIT OPEN BALANCE : $411.48_x000a__x000a_IFC SHIPMENT_x000a__x000a_CARRIER : USA"/>
    <x v="9"/>
    <s v="SO03182439"/>
    <s v="1078997622"/>
    <s v="4559699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9.791666666701"/>
    <m/>
    <m/>
    <s v="Credit Request"/>
    <s v="Resolved"/>
    <s v="Vicki Y Pleak"/>
    <s v="Vicki Y Pleak"/>
    <s v="Commercial"/>
    <s v="Schlage Residential Mechanical"/>
    <x v="4"/>
    <x v="10"/>
    <s v=""/>
    <s v="2026 / 02"/>
    <s v="Return / Replace / Scrap"/>
    <s v="Product"/>
  </r>
  <r>
    <x v="222"/>
    <s v="CAS6415319"/>
    <s v="Issue"/>
    <s v="Return / Replace / Scrap"/>
    <s v="Quantity"/>
    <m/>
    <m/>
    <s v="Schlage Residential"/>
    <s v="Lock"/>
    <x v="1"/>
    <x v="1"/>
    <s v="CREDIT FOR CONCEALED SHORTAGE_x000a__x000a_CREDIT OPEN BALANCE : $437.83_x000a__x000a_IFC SHIPMENT_x000a__x000a_CARRIER : USA"/>
    <x v="9"/>
    <s v="SO03182430"/>
    <s v="1078997642"/>
    <s v="4559698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9.791666666701"/>
    <m/>
    <m/>
    <s v="Credit Request"/>
    <s v="Resolved"/>
    <s v="Vicki Y Pleak"/>
    <s v="Vicki Y Pleak"/>
    <s v="Commercial"/>
    <s v="Schlage Residential Mechanical"/>
    <x v="4"/>
    <x v="10"/>
    <s v=""/>
    <s v="2026 / 02"/>
    <s v="Return / Replace / Scrap"/>
    <s v="Product"/>
  </r>
  <r>
    <x v="223"/>
    <s v="CAS6415288"/>
    <s v="Issue"/>
    <s v="Return / Replace / Scrap"/>
    <s v="Quantity"/>
    <m/>
    <m/>
    <s v="Schlage Residential"/>
    <s v="Lock"/>
    <x v="1"/>
    <x v="1"/>
    <s v="CREDIT FOR CONCEALED SHORTAGE_x000a__x000a_CREDIT OPEN BALANCE : $1107.54_x000a__x000a_IFC SHIPMENT_x000a__x000a_CARRIER : USA"/>
    <x v="9"/>
    <s v="SO03182404"/>
    <s v="1078996912"/>
    <s v="4559567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8.791666666701"/>
    <m/>
    <m/>
    <s v="Credit Request"/>
    <s v="Resolved"/>
    <s v="Vicki Y Pleak"/>
    <s v="Vicki Y Pleak"/>
    <s v="Commercial"/>
    <s v="Schlage Residential Mechanical"/>
    <x v="4"/>
    <x v="10"/>
    <s v=""/>
    <s v="2026 / 02"/>
    <s v="Return / Replace / Scrap"/>
    <s v="Product"/>
  </r>
  <r>
    <x v="224"/>
    <s v="CAS6415253"/>
    <s v="Issue"/>
    <s v="Return / Replace / Scrap"/>
    <s v="Quantity"/>
    <m/>
    <m/>
    <s v="Schlage Residential"/>
    <s v="Lock"/>
    <x v="1"/>
    <x v="1"/>
    <s v="CREDIT FOR CONCEALED SHORTAGE_x000a__x000a_CREDIT OPEN BALANCE : $352.31_x000a__x000a_IFC SHIPMENT_x000a__x000a_CARRIER : USA"/>
    <x v="9"/>
    <s v="SO03180647"/>
    <s v="1078353820"/>
    <s v="4559558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8.791666666701"/>
    <m/>
    <m/>
    <s v="Credit Request"/>
    <s v="Resolved"/>
    <s v="Vicki Y Pleak"/>
    <s v="Vicki Y Pleak"/>
    <s v="Commercial"/>
    <s v="Schlage Residential Mechanical"/>
    <x v="4"/>
    <x v="10"/>
    <s v=""/>
    <s v="2026 / 02"/>
    <s v="Return / Replace / Scrap"/>
    <s v="Product"/>
  </r>
  <r>
    <x v="225"/>
    <s v="CAS6415219"/>
    <s v="Issue"/>
    <s v="Return / Replace / Scrap"/>
    <s v="Quantity"/>
    <m/>
    <m/>
    <s v="Schlage Residential"/>
    <s v="Lock"/>
    <x v="1"/>
    <x v="1"/>
    <s v="CREDIT FOR CONCEALED SHORTAGE_x000a__x000a_CREDIT OPEN BALANCE : $427.66_x000a__x000a_IFC SHIPMENT_x000a__x000a_CARRIER : USA"/>
    <x v="9"/>
    <s v="SO03177484"/>
    <s v="1077634625"/>
    <s v="4559214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4.791666666701"/>
    <m/>
    <m/>
    <s v="Credit Request"/>
    <s v="Resolved"/>
    <s v="Vicki Y Pleak"/>
    <s v="Vicki Y Pleak"/>
    <s v="Commercial"/>
    <s v="Schlage Residential Mechanical"/>
    <x v="4"/>
    <x v="10"/>
    <s v=""/>
    <s v="2026 / 02"/>
    <s v="Return / Replace / Scrap"/>
    <s v="Product"/>
  </r>
  <r>
    <x v="226"/>
    <s v="CAS6415175"/>
    <s v="Issue"/>
    <s v="Return / Replace / Scrap"/>
    <s v="Quantity"/>
    <m/>
    <m/>
    <s v="Schlage Residential"/>
    <s v="Lock"/>
    <x v="1"/>
    <x v="1"/>
    <s v="CREDIT FOR CONCEALED SHORTAGE_x000a__x000a_CREDIT OPEN BALANCE : $1443.85_x000a__x000a_IFC SHIPMENT_x000a__x000a_CARRIER : KNIGHT - NO DR FROM CARRIER"/>
    <x v="9"/>
    <s v="SO03172450"/>
    <s v="1076237375"/>
    <s v="4558642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71.791666666701"/>
    <m/>
    <m/>
    <s v="Credit Request"/>
    <s v="Resolved"/>
    <s v="Vicki Y Pleak"/>
    <s v="Vicki Y Pleak"/>
    <s v="Commercial"/>
    <s v="Schlage Residential Mechanical"/>
    <x v="4"/>
    <x v="10"/>
    <s v=""/>
    <s v="2026 / 02"/>
    <s v="Return / Replace / Scrap"/>
    <s v="Product"/>
  </r>
  <r>
    <x v="227"/>
    <s v="CAS6415114"/>
    <s v="Issue"/>
    <s v="Return / Replace / Scrap"/>
    <s v="Quantity"/>
    <m/>
    <m/>
    <s v="Schlage Residential"/>
    <s v="Lock"/>
    <x v="1"/>
    <x v="1"/>
    <s v="CONCEALED SHORTAGE:_x000a__x000a_LOWES REF#  AD833072_x000a__x000a_CREDIT BALANCE : $1896.62_x000a__x000a_CARRER:   SAIA"/>
    <x v="24"/>
    <s v="SO03193963"/>
    <s v="300972188"/>
    <s v="4561379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3.791666666701"/>
    <m/>
    <m/>
    <s v="Credit Request"/>
    <s v="Resolved"/>
    <s v="Vicki Y Pleak"/>
    <s v="Vicki Y Pleak"/>
    <s v="Commercial"/>
    <s v="Schlage Residential Mechanical"/>
    <x v="4"/>
    <x v="10"/>
    <s v=""/>
    <s v="2026 / 02"/>
    <s v="Return / Replace / Scrap"/>
    <s v="Product"/>
  </r>
  <r>
    <x v="228"/>
    <s v="CAS6415073"/>
    <s v="Issue"/>
    <s v="Return / Replace / Scrap"/>
    <s v="Quantity"/>
    <m/>
    <m/>
    <s v="Schlage Residential"/>
    <s v="Lock"/>
    <x v="1"/>
    <x v="1"/>
    <s v="CONCEALED SHORTAGE:_x000a__x000a_LOWES REF#  AD833071_x000a__x000a_CREDIT BALANCE : $358.00_x000a__x000a_CARRER:   SAIA"/>
    <x v="24"/>
    <s v="SO03192374"/>
    <s v="300899804"/>
    <s v="45613783"/>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3.791666666701"/>
    <m/>
    <m/>
    <s v="Credit Request"/>
    <s v="Resolved"/>
    <s v="Vicki Y Pleak"/>
    <s v="Vicki Y Pleak"/>
    <s v="Commercial"/>
    <s v="Schlage Residential Mechanical"/>
    <x v="4"/>
    <x v="10"/>
    <s v=""/>
    <s v="2026 / 02"/>
    <s v="Return / Replace / Scrap"/>
    <s v="Product"/>
  </r>
  <r>
    <x v="229"/>
    <s v="CAS6415042"/>
    <s v="Issue"/>
    <s v="Return / Replace / Scrap"/>
    <s v="Quantity"/>
    <m/>
    <m/>
    <s v="Schlage Residential"/>
    <s v="Lock"/>
    <x v="1"/>
    <x v="1"/>
    <s v="CONCEALED SHORTAGE:_x000a__x000a_LOWES REF#  AD835334_x000a__x000a_CREDIT BALANCE : $1037.68_x000a__x000a_CARRER:   SAIA"/>
    <x v="24"/>
    <s v="SO03192375"/>
    <s v="300899805"/>
    <s v="4561154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s v="Shipping"/>
    <m/>
    <m/>
    <m/>
    <m/>
    <m/>
    <n v="45992.791666666701"/>
    <m/>
    <m/>
    <s v="Credit Request"/>
    <s v="Resolved"/>
    <s v="Vicki Y Pleak"/>
    <s v="Vicki Y Pleak"/>
    <s v="Commercial"/>
    <s v="Schlage Residential Mechanical"/>
    <x v="4"/>
    <x v="10"/>
    <s v=""/>
    <s v="2026 / 02"/>
    <s v="Return / Replace / Scrap"/>
    <s v="Produc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2FC873-CFAC-4116-B0FC-06125CC6702A}" name="PivotTable2_RE" cacheId="0" applyNumberFormats="0" applyBorderFormats="0" applyFontFormats="0" applyPatternFormats="0" applyAlignmentFormats="0" applyWidthHeightFormats="1" dataCaption="Values" updatedVersion="8" minRefreshableVersion="3" asteriskTotals="1" useAutoFormatting="1" pageOverThenDown="1" itemPrintTitles="1" createdVersion="5" indent="0" outline="1" outlineData="1" multipleFieldFilters="0" chartFormat="1">
  <location ref="E3:G111" firstHeaderRow="0" firstDataRow="1" firstDataCol="1" rowPageCount="1" colPageCount="1"/>
  <pivotFields count="46">
    <pivotField numFmtId="22"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sortType="descending">
      <items count="6">
        <item x="3"/>
        <item x="1"/>
        <item x="2"/>
        <item x="0"/>
        <item x="4"/>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Page" multipleItemSelectionAllowed="1" showAll="0">
      <items count="3">
        <item x="0"/>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sortType="descending">
      <items count="21">
        <item x="3"/>
        <item x="15"/>
        <item x="5"/>
        <item x="16"/>
        <item x="19"/>
        <item x="17"/>
        <item x="14"/>
        <item x="0"/>
        <item x="12"/>
        <item x="13"/>
        <item x="6"/>
        <item sd="0" x="1"/>
        <item x="2"/>
        <item x="4"/>
        <item x="9"/>
        <item x="7"/>
        <item x="11"/>
        <item x="10"/>
        <item x="18"/>
        <item x="8"/>
        <item t="default"/>
      </items>
      <extLst>
        <ext xmlns:x14="http://schemas.microsoft.com/office/spreadsheetml/2009/9/main" uri="{2946ED86-A175-432a-8AC1-64E0C546D7DE}">
          <x14:pivotField fillDownLabels="1"/>
        </ext>
      </extLst>
    </pivotField>
    <pivotField axis="axisRow" showAll="0" sortType="ascending">
      <items count="32">
        <item x="9"/>
        <item x="12"/>
        <item x="13"/>
        <item x="0"/>
        <item x="5"/>
        <item x="14"/>
        <item x="29"/>
        <item x="7"/>
        <item x="6"/>
        <item x="1"/>
        <item x="15"/>
        <item x="2"/>
        <item x="19"/>
        <item x="22"/>
        <item x="8"/>
        <item x="30"/>
        <item x="25"/>
        <item x="27"/>
        <item x="3"/>
        <item x="16"/>
        <item x="11"/>
        <item x="4"/>
        <item x="28"/>
        <item x="26"/>
        <item x="17"/>
        <item x="10"/>
        <item x="21"/>
        <item x="24"/>
        <item x="23"/>
        <item x="20"/>
        <item x="18"/>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3">
    <field x="9"/>
    <field x="40"/>
    <field x="41"/>
  </rowFields>
  <rowItems count="108">
    <i>
      <x v="1"/>
    </i>
    <i r="1">
      <x/>
    </i>
    <i r="2">
      <x v="30"/>
    </i>
    <i r="1">
      <x v="1"/>
    </i>
    <i r="2">
      <x v="26"/>
    </i>
    <i r="1">
      <x v="2"/>
    </i>
    <i r="2">
      <x v="4"/>
    </i>
    <i r="1">
      <x v="3"/>
    </i>
    <i r="2">
      <x v="23"/>
    </i>
    <i r="2">
      <x v="27"/>
    </i>
    <i r="1">
      <x v="6"/>
    </i>
    <i r="2">
      <x v="12"/>
    </i>
    <i r="1">
      <x v="7"/>
    </i>
    <i r="2">
      <x v="3"/>
    </i>
    <i r="2">
      <x v="5"/>
    </i>
    <i r="1">
      <x v="9"/>
    </i>
    <i r="2">
      <x v="10"/>
    </i>
    <i r="1">
      <x v="10"/>
    </i>
    <i r="2">
      <x v="8"/>
    </i>
    <i r="1">
      <x v="11"/>
    </i>
    <i r="1">
      <x v="12"/>
    </i>
    <i r="2">
      <x v="11"/>
    </i>
    <i r="2">
      <x v="22"/>
    </i>
    <i r="1">
      <x v="13"/>
    </i>
    <i r="2">
      <x v="25"/>
    </i>
    <i r="1">
      <x v="14"/>
    </i>
    <i r="2">
      <x v="19"/>
    </i>
    <i r="2">
      <x v="20"/>
    </i>
    <i r="1">
      <x v="15"/>
    </i>
    <i r="2">
      <x v="13"/>
    </i>
    <i r="2">
      <x v="14"/>
    </i>
    <i r="1">
      <x v="17"/>
    </i>
    <i r="2">
      <x v="1"/>
    </i>
    <i r="1">
      <x v="19"/>
    </i>
    <i r="2">
      <x/>
    </i>
    <i>
      <x v="2"/>
    </i>
    <i r="1">
      <x/>
    </i>
    <i r="2">
      <x v="18"/>
    </i>
    <i r="2">
      <x v="29"/>
    </i>
    <i r="2">
      <x v="30"/>
    </i>
    <i r="1">
      <x v="2"/>
    </i>
    <i r="2">
      <x v="4"/>
    </i>
    <i r="2">
      <x v="24"/>
    </i>
    <i r="1">
      <x v="4"/>
    </i>
    <i r="2">
      <x v="17"/>
    </i>
    <i r="1">
      <x v="5"/>
    </i>
    <i r="2">
      <x v="16"/>
    </i>
    <i r="1">
      <x v="7"/>
    </i>
    <i r="2">
      <x v="3"/>
    </i>
    <i r="2">
      <x v="5"/>
    </i>
    <i r="2">
      <x v="15"/>
    </i>
    <i r="1">
      <x v="9"/>
    </i>
    <i r="2">
      <x v="10"/>
    </i>
    <i r="1">
      <x v="10"/>
    </i>
    <i r="2">
      <x v="8"/>
    </i>
    <i r="1">
      <x v="12"/>
    </i>
    <i r="2">
      <x v="11"/>
    </i>
    <i r="2">
      <x v="28"/>
    </i>
    <i r="1">
      <x v="13"/>
    </i>
    <i r="2">
      <x v="21"/>
    </i>
    <i r="2">
      <x v="25"/>
    </i>
    <i r="1">
      <x v="14"/>
    </i>
    <i r="2">
      <x v="19"/>
    </i>
    <i r="2">
      <x v="20"/>
    </i>
    <i r="1">
      <x v="15"/>
    </i>
    <i r="2">
      <x v="14"/>
    </i>
    <i r="1">
      <x v="17"/>
    </i>
    <i r="2">
      <x v="1"/>
    </i>
    <i r="1">
      <x v="18"/>
    </i>
    <i r="2">
      <x v="21"/>
    </i>
    <i r="1">
      <x v="19"/>
    </i>
    <i r="2">
      <x/>
    </i>
    <i>
      <x/>
    </i>
    <i r="1">
      <x/>
    </i>
    <i r="2">
      <x v="18"/>
    </i>
    <i r="2">
      <x v="30"/>
    </i>
    <i r="1">
      <x v="7"/>
    </i>
    <i r="2">
      <x v="3"/>
    </i>
    <i r="2">
      <x v="5"/>
    </i>
    <i r="1">
      <x v="8"/>
    </i>
    <i r="2">
      <x v="5"/>
    </i>
    <i r="1">
      <x v="12"/>
    </i>
    <i r="2">
      <x v="6"/>
    </i>
    <i r="2">
      <x v="11"/>
    </i>
    <i r="1">
      <x v="13"/>
    </i>
    <i r="2">
      <x v="25"/>
    </i>
    <i r="1">
      <x v="14"/>
    </i>
    <i r="2">
      <x v="19"/>
    </i>
    <i r="2">
      <x v="20"/>
    </i>
    <i r="1">
      <x v="16"/>
    </i>
    <i r="2">
      <x v="2"/>
    </i>
    <i r="1">
      <x v="19"/>
    </i>
    <i r="2">
      <x/>
    </i>
    <i>
      <x v="4"/>
    </i>
    <i r="1">
      <x v="2"/>
    </i>
    <i r="2">
      <x v="4"/>
    </i>
    <i r="1">
      <x v="13"/>
    </i>
    <i r="2">
      <x v="25"/>
    </i>
    <i r="1">
      <x v="14"/>
    </i>
    <i r="2">
      <x v="20"/>
    </i>
    <i>
      <x v="3"/>
    </i>
    <i r="1">
      <x v="1"/>
    </i>
    <i r="2">
      <x v="26"/>
    </i>
    <i r="1">
      <x v="7"/>
    </i>
    <i r="2">
      <x v="3"/>
    </i>
    <i r="1">
      <x v="12"/>
    </i>
    <i r="2">
      <x v="11"/>
    </i>
    <i t="grand">
      <x/>
    </i>
  </rowItems>
  <colFields count="1">
    <field x="-2"/>
  </colFields>
  <colItems count="2">
    <i>
      <x/>
    </i>
    <i i="1">
      <x v="1"/>
    </i>
  </colItems>
  <pageFields count="1">
    <pageField fld="10" hier="-1"/>
  </pageFields>
  <dataFields count="2">
    <dataField name="Count of Case Number" fld="1" subtotal="count" baseField="0" baseItem="0"/>
    <dataField name="Sum of Quantity"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8C2C1F-E4FF-494E-A00A-1C3056648E0F}" name="PivotTable3_RE" cacheId="0" applyNumberFormats="0" applyBorderFormats="0" applyFontFormats="0" applyPatternFormats="0" applyAlignmentFormats="0" applyWidthHeightFormats="1" dataCaption="Values" updatedVersion="8" minRefreshableVersion="3" asteriskTotals="1" useAutoFormatting="1" pageOverThenDown="1" itemPrintTitles="1" createdVersion="5" indent="0" outline="1" outlineData="1" multipleFieldFilters="0">
  <location ref="I3:J57" firstHeaderRow="1" firstDataRow="1" firstDataCol="1" rowPageCount="1" colPageCount="1"/>
  <pivotFields count="46">
    <pivotField numFmtId="22"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Page" multipleItemSelectionAllowed="1" showAll="0">
      <items count="3">
        <item x="0"/>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sortType="descending">
      <items count="21">
        <item x="8"/>
        <item x="18"/>
        <item x="10"/>
        <item x="11"/>
        <item x="7"/>
        <item x="9"/>
        <item x="4"/>
        <item x="2"/>
        <item x="1"/>
        <item x="6"/>
        <item x="13"/>
        <item x="12"/>
        <item x="0"/>
        <item x="14"/>
        <item x="17"/>
        <item x="19"/>
        <item x="16"/>
        <item x="5"/>
        <item x="15"/>
        <item x="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showAll="0" sortType="descending">
      <items count="32">
        <item x="9"/>
        <item x="12"/>
        <item x="13"/>
        <item x="0"/>
        <item x="5"/>
        <item x="14"/>
        <item x="29"/>
        <item x="7"/>
        <item x="6"/>
        <item x="1"/>
        <item x="15"/>
        <item x="2"/>
        <item x="19"/>
        <item x="22"/>
        <item x="8"/>
        <item x="30"/>
        <item x="25"/>
        <item x="27"/>
        <item x="3"/>
        <item x="16"/>
        <item x="11"/>
        <item x="4"/>
        <item x="28"/>
        <item x="26"/>
        <item x="17"/>
        <item x="10"/>
        <item x="21"/>
        <item x="24"/>
        <item x="23"/>
        <item x="20"/>
        <item x="18"/>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2">
    <field x="40"/>
    <field x="41"/>
  </rowFields>
  <rowItems count="54">
    <i>
      <x v="6"/>
    </i>
    <i r="1">
      <x v="25"/>
    </i>
    <i r="1">
      <x v="21"/>
    </i>
    <i>
      <x v="17"/>
    </i>
    <i r="1">
      <x v="4"/>
    </i>
    <i r="1">
      <x v="24"/>
    </i>
    <i>
      <x v="12"/>
    </i>
    <i r="1">
      <x v="3"/>
    </i>
    <i r="1">
      <x v="5"/>
    </i>
    <i r="1">
      <x v="15"/>
    </i>
    <i>
      <x v="5"/>
    </i>
    <i r="1">
      <x v="20"/>
    </i>
    <i r="1">
      <x v="19"/>
    </i>
    <i>
      <x v="8"/>
    </i>
    <i r="1">
      <x v="9"/>
    </i>
    <i r="1">
      <x v="7"/>
    </i>
    <i>
      <x v="2"/>
    </i>
    <i r="1">
      <x v="1"/>
    </i>
    <i>
      <x v="7"/>
    </i>
    <i r="1">
      <x v="11"/>
    </i>
    <i r="1">
      <x v="6"/>
    </i>
    <i r="1">
      <x v="28"/>
    </i>
    <i r="1">
      <x v="22"/>
    </i>
    <i>
      <x v="19"/>
    </i>
    <i r="1">
      <x v="18"/>
    </i>
    <i r="1">
      <x v="30"/>
    </i>
    <i r="1">
      <x v="29"/>
    </i>
    <i>
      <x/>
    </i>
    <i r="1">
      <x/>
    </i>
    <i>
      <x v="4"/>
    </i>
    <i r="1">
      <x v="14"/>
    </i>
    <i r="1">
      <x v="13"/>
    </i>
    <i>
      <x v="9"/>
    </i>
    <i r="1">
      <x v="8"/>
    </i>
    <i>
      <x v="18"/>
    </i>
    <i r="1">
      <x v="26"/>
    </i>
    <i>
      <x v="10"/>
    </i>
    <i r="1">
      <x v="10"/>
    </i>
    <i>
      <x v="16"/>
    </i>
    <i r="1">
      <x v="27"/>
    </i>
    <i r="1">
      <x v="23"/>
    </i>
    <i>
      <x v="13"/>
    </i>
    <i r="1">
      <x v="12"/>
    </i>
    <i>
      <x v="3"/>
    </i>
    <i r="1">
      <x v="2"/>
    </i>
    <i>
      <x v="1"/>
    </i>
    <i r="1">
      <x v="21"/>
    </i>
    <i>
      <x v="11"/>
    </i>
    <i r="1">
      <x v="5"/>
    </i>
    <i>
      <x v="14"/>
    </i>
    <i r="1">
      <x v="16"/>
    </i>
    <i>
      <x v="15"/>
    </i>
    <i r="1">
      <x v="17"/>
    </i>
    <i t="grand">
      <x/>
    </i>
  </rowItems>
  <colItems count="1">
    <i/>
  </colItems>
  <pageFields count="1">
    <pageField fld="10" hier="-1"/>
  </pageFields>
  <dataFields count="1">
    <dataField name="Count of Case Numb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B95F3A-52A4-4820-9876-656583BE7C15}" name="PivotTable4_RE" cacheId="0" applyNumberFormats="0" applyBorderFormats="0" applyFontFormats="0" applyPatternFormats="0" applyAlignmentFormats="0" applyWidthHeightFormats="1" dataCaption="Values" updatedVersion="8" minRefreshableVersion="3" asteriskTotals="1" useAutoFormatting="1" pageOverThenDown="1" itemPrintTitles="1" createdVersion="5" indent="0" outline="1" outlineData="1" multipleFieldFilters="0">
  <location ref="L3:M77" firstHeaderRow="1" firstDataRow="1" firstDataCol="1" rowPageCount="1" colPageCount="1"/>
  <pivotFields count="46">
    <pivotField numFmtId="22"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Page" multipleItemSelectionAllowed="1" showAll="0">
      <items count="3">
        <item x="0"/>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sortType="descending">
      <items count="74">
        <item x="1"/>
        <item x="63"/>
        <item x="6"/>
        <item x="61"/>
        <item x="36"/>
        <item x="48"/>
        <item x="41"/>
        <item x="60"/>
        <item x="37"/>
        <item x="58"/>
        <item x="11"/>
        <item x="49"/>
        <item x="56"/>
        <item x="31"/>
        <item x="64"/>
        <item x="15"/>
        <item x="46"/>
        <item x="28"/>
        <item x="10"/>
        <item x="13"/>
        <item x="40"/>
        <item x="17"/>
        <item x="20"/>
        <item x="70"/>
        <item x="50"/>
        <item x="44"/>
        <item x="33"/>
        <item x="12"/>
        <item x="69"/>
        <item x="62"/>
        <item x="32"/>
        <item x="45"/>
        <item x="4"/>
        <item x="22"/>
        <item x="14"/>
        <item x="27"/>
        <item x="65"/>
        <item x="3"/>
        <item x="54"/>
        <item x="9"/>
        <item x="34"/>
        <item x="29"/>
        <item x="47"/>
        <item x="38"/>
        <item x="19"/>
        <item x="0"/>
        <item x="23"/>
        <item x="24"/>
        <item x="72"/>
        <item x="18"/>
        <item x="42"/>
        <item x="67"/>
        <item x="8"/>
        <item x="51"/>
        <item x="55"/>
        <item x="59"/>
        <item x="16"/>
        <item x="30"/>
        <item x="66"/>
        <item x="71"/>
        <item x="5"/>
        <item x="39"/>
        <item x="26"/>
        <item x="35"/>
        <item x="52"/>
        <item x="43"/>
        <item x="7"/>
        <item x="21"/>
        <item x="68"/>
        <item x="2"/>
        <item x="53"/>
        <item x="25"/>
        <item x="57"/>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12"/>
  </rowFields>
  <rowItems count="74">
    <i>
      <x v="39"/>
    </i>
    <i>
      <x/>
    </i>
    <i>
      <x v="57"/>
    </i>
    <i>
      <x v="32"/>
    </i>
    <i>
      <x v="47"/>
    </i>
    <i>
      <x v="69"/>
    </i>
    <i>
      <x v="21"/>
    </i>
    <i>
      <x v="17"/>
    </i>
    <i>
      <x v="2"/>
    </i>
    <i>
      <x v="18"/>
    </i>
    <i>
      <x v="14"/>
    </i>
    <i>
      <x v="49"/>
    </i>
    <i>
      <x v="60"/>
    </i>
    <i>
      <x v="25"/>
    </i>
    <i>
      <x v="48"/>
    </i>
    <i>
      <x v="16"/>
    </i>
    <i>
      <x v="37"/>
    </i>
    <i>
      <x v="40"/>
    </i>
    <i>
      <x v="26"/>
    </i>
    <i>
      <x v="71"/>
    </i>
    <i>
      <x v="7"/>
    </i>
    <i>
      <x v="64"/>
    </i>
    <i>
      <x v="6"/>
    </i>
    <i>
      <x v="44"/>
    </i>
    <i>
      <x v="56"/>
    </i>
    <i>
      <x v="45"/>
    </i>
    <i>
      <x v="58"/>
    </i>
    <i>
      <x v="11"/>
    </i>
    <i>
      <x v="30"/>
    </i>
    <i>
      <x v="31"/>
    </i>
    <i>
      <x v="33"/>
    </i>
    <i>
      <x v="62"/>
    </i>
    <i>
      <x v="54"/>
    </i>
    <i>
      <x v="50"/>
    </i>
    <i>
      <x v="5"/>
    </i>
    <i>
      <x v="28"/>
    </i>
    <i>
      <x v="68"/>
    </i>
    <i>
      <x v="66"/>
    </i>
    <i>
      <x v="15"/>
    </i>
    <i>
      <x v="52"/>
    </i>
    <i>
      <x v="1"/>
    </i>
    <i>
      <x v="4"/>
    </i>
    <i>
      <x v="3"/>
    </i>
    <i>
      <x v="29"/>
    </i>
    <i>
      <x v="8"/>
    </i>
    <i>
      <x v="12"/>
    </i>
    <i>
      <x v="38"/>
    </i>
    <i>
      <x v="13"/>
    </i>
    <i>
      <x v="19"/>
    </i>
    <i>
      <x v="51"/>
    </i>
    <i>
      <x v="20"/>
    </i>
    <i>
      <x v="53"/>
    </i>
    <i>
      <x v="41"/>
    </i>
    <i>
      <x v="55"/>
    </i>
    <i>
      <x v="42"/>
    </i>
    <i>
      <x v="27"/>
    </i>
    <i>
      <x v="43"/>
    </i>
    <i>
      <x v="59"/>
    </i>
    <i>
      <x v="9"/>
    </i>
    <i>
      <x v="61"/>
    </i>
    <i>
      <x v="22"/>
    </i>
    <i>
      <x v="63"/>
    </i>
    <i>
      <x v="46"/>
    </i>
    <i>
      <x v="65"/>
    </i>
    <i>
      <x v="23"/>
    </i>
    <i>
      <x v="67"/>
    </i>
    <i>
      <x v="24"/>
    </i>
    <i>
      <x v="10"/>
    </i>
    <i>
      <x v="70"/>
    </i>
    <i>
      <x v="34"/>
    </i>
    <i>
      <x v="72"/>
    </i>
    <i>
      <x v="35"/>
    </i>
    <i>
      <x v="36"/>
    </i>
    <i t="grand">
      <x/>
    </i>
  </rowItems>
  <colItems count="1">
    <i/>
  </colItems>
  <pageFields count="1">
    <pageField fld="10" hier="-1"/>
  </pageFields>
  <dataFields count="1">
    <dataField name="Count of Case Numb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3BEFBF-A472-4473-BC69-494779B9D956}" name="PivotTable1_RE" cacheId="0" applyNumberFormats="0" applyBorderFormats="0" applyFontFormats="0" applyPatternFormats="0" applyAlignmentFormats="0" applyWidthHeightFormats="1" dataCaption="Values" updatedVersion="8" minRefreshableVersion="3" asteriskTotals="1" useAutoFormatting="1" pageOverThenDown="1" itemPrintTitles="1" createdVersion="5" indent="0" outline="1" outlineData="1" multipleFieldFilters="0">
  <location ref="A3:C9" firstHeaderRow="0" firstDataRow="1" firstDataCol="1" rowPageCount="1" colPageCount="1"/>
  <pivotFields count="46">
    <pivotField numFmtId="22"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sortType="descending">
      <items count="6">
        <item x="3"/>
        <item x="1"/>
        <item x="2"/>
        <item x="0"/>
        <item x="4"/>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Page" showAll="0">
      <items count="3">
        <item x="0"/>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9"/>
  </rowFields>
  <rowItems count="6">
    <i>
      <x v="1"/>
    </i>
    <i>
      <x v="2"/>
    </i>
    <i>
      <x/>
    </i>
    <i>
      <x v="4"/>
    </i>
    <i>
      <x v="3"/>
    </i>
    <i t="grand">
      <x/>
    </i>
  </rowItems>
  <colFields count="1">
    <field x="-2"/>
  </colFields>
  <colItems count="2">
    <i>
      <x/>
    </i>
    <i i="1">
      <x v="1"/>
    </i>
  </colItems>
  <pageFields count="1">
    <pageField fld="10" hier="-1"/>
  </pageFields>
  <dataFields count="2">
    <dataField name="Count of Case Number" fld="1" subtotal="count" baseField="0" baseItem="0"/>
    <dataField name="Sum of Quantity"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185159-1BF5-4A6C-A176-C01C2608F78B}" name="Table2" displayName="Table2" ref="A3:AT157" totalsRowShown="0">
  <autoFilter ref="A3:AT157" xr:uid="{87185159-1BF5-4A6C-A176-C01C2608F78B}"/>
  <tableColumns count="46">
    <tableColumn id="1" xr3:uid="{C26D7EF4-1609-47D3-AFF9-ECB9C526972C}" name="Created On" dataDxfId="3"/>
    <tableColumn id="2" xr3:uid="{635E0FFB-2200-4156-BC49-F9EA7165DB20}" name="Case Number"/>
    <tableColumn id="3" xr3:uid="{F8E85EDE-7D78-44D1-8CA1-2833A03B001C}" name="Case Type"/>
    <tableColumn id="4" xr3:uid="{FD677E43-4596-43FA-98D6-969956AC3F67}" name="Interaction Type"/>
    <tableColumn id="5" xr3:uid="{91BB89D1-6873-4B5D-8A08-ABFC0317EA6E}" name="Interaction Subtype"/>
    <tableColumn id="6" xr3:uid="{44997CD4-38A2-46B8-AA53-CE87751E0400}" name="Legacy Interaction Type"/>
    <tableColumn id="7" xr3:uid="{2536F418-D33C-4305-9B08-30F7B474609D}" name="OOB or Reliability?"/>
    <tableColumn id="8" xr3:uid="{4E9AB2E5-D8BB-4F4B-A1B1-54099DB6B51C}" name="Brand"/>
    <tableColumn id="9" xr3:uid="{7FC969EE-C657-4158-A169-42317141B5F4}" name="Category"/>
    <tableColumn id="10" xr3:uid="{84D5C0C7-8C9F-453A-941A-66D8A05D2CDF}" name="Series"/>
    <tableColumn id="11" xr3:uid="{2E373409-A9BC-4EC6-818F-070D68D07738}" name="Factory"/>
    <tableColumn id="12" xr3:uid="{BF89FE36-411F-4A57-AEBC-CAF323D9D5CA}" name="Description" dataDxfId="2"/>
    <tableColumn id="13" xr3:uid="{83BD33EE-8955-4BBE-9558-3D6364C9434C}" name="Customer"/>
    <tableColumn id="14" xr3:uid="{854A2BED-0A57-4DEB-A785-E2C5FA688E18}" name="Original Order #"/>
    <tableColumn id="15" xr3:uid="{BD07E4E2-1649-4EC4-834E-64F8E899ACE1}" name="PO #"/>
    <tableColumn id="16" xr3:uid="{FEB59758-55EE-4B5F-B48E-3FC9FD8625E5}" name="Invoice #"/>
    <tableColumn id="17" xr3:uid="{D720FF12-2953-4A64-9450-7ACFE2C6FB8A}" name="Line Number"/>
    <tableColumn id="18" xr3:uid="{EB3333C4-41D4-4BB4-B945-6FA824A2A4C4}" name="Brand2"/>
    <tableColumn id="19" xr3:uid="{C2D3D6E3-1449-4179-B23D-A9CCE678D84A}" name="Category3"/>
    <tableColumn id="20" xr3:uid="{B82C22B9-8418-46D9-B73D-150FCAE08532}" name="Series4"/>
    <tableColumn id="21" xr3:uid="{63BC9A77-D2CA-41C3-89AB-2385FD4A3553}" name="Factory5"/>
    <tableColumn id="22" xr3:uid="{D3112DE4-C3F4-4B6F-B483-CE6D56F962F6}" name="Quantity"/>
    <tableColumn id="23" xr3:uid="{13E8F770-3133-49DA-BB9C-370C3E4F5A2B}" name="Reason"/>
    <tableColumn id="24" xr3:uid="{EE180C05-2960-473F-AAC7-3D54CDE47B37}" name="Detail Reason"/>
    <tableColumn id="25" xr3:uid="{67D8BDE8-14A7-4503-AFC6-4F210D566010}" name="Subdetail Reason"/>
    <tableColumn id="26" xr3:uid="{65EF5FE5-A0E6-444A-862D-E49F8320FD2C}" name="Point of Failure"/>
    <tableColumn id="27" xr3:uid="{58609DE9-CD93-4133-AA81-74602F1080DC}" name="Accountability"/>
    <tableColumn id="28" xr3:uid="{927526FA-F78E-483E-BCDB-1899E051BB62}" name="Part #"/>
    <tableColumn id="29" xr3:uid="{9A6D7C13-D837-483C-90C9-EE23ADDA69A4}" name="Component"/>
    <tableColumn id="30" xr3:uid="{2284B3A8-CF69-45BC-A243-5C043417B50D}" name="Subcomponent"/>
    <tableColumn id="31" xr3:uid="{C11DB84B-1DDB-4043-B039-9B8C0C811293}" name="Manufacture Date"/>
    <tableColumn id="32" xr3:uid="{EB6B9A6D-3CB7-4F86-845A-0DA71A0C096D}" name="Ship Date"/>
    <tableColumn id="33" xr3:uid="{EF1350A0-0C79-4C29-A61E-FB86252C3C57}" name="Installation Date"/>
    <tableColumn id="34" xr3:uid="{1434C493-11EE-4A23-AB55-18F2D7A6E04E}" name="# of Lines Affected"/>
    <tableColumn id="35" xr3:uid="{A0AE1063-9D3B-4B1E-8261-03027F108889}" name="Transaction Type"/>
    <tableColumn id="36" xr3:uid="{83EDCE8C-03FA-466D-8191-132C11842CE8}" name="Status"/>
    <tableColumn id="37" xr3:uid="{50CD3F61-83C6-46AB-B880-99F330D5AA43}" name="Created By"/>
    <tableColumn id="38" xr3:uid="{295D474C-4F05-4A67-BE91-02BC17FB2AD7}" name="Owner"/>
    <tableColumn id="39" xr3:uid="{7A18FEAA-504C-47FF-A3A2-E17D7B16FB1B}" name="Functional Group"/>
    <tableColumn id="40" xr3:uid="{C8C6C920-8C45-4CD1-91C6-A7DC29B2E96A}" name="Brand / Category"/>
    <tableColumn id="41" xr3:uid="{09CFA1A1-8310-4D3E-8636-6242DE6D1A89}" name="Reason (English)"/>
    <tableColumn id="42" xr3:uid="{84E29978-DB2F-4CC0-B3EE-D1822CE34B19}" name="Detail Reason (English)"/>
    <tableColumn id="43" xr3:uid="{3E1EECAF-1537-4450-B088-A410B6AE6E97}" name="Subdetail Reason (English)"/>
    <tableColumn id="44" xr3:uid="{3D110626-0747-4213-B367-4542BB0EC6D1}" name="Open Month"/>
    <tableColumn id="45" xr3:uid="{87FD42E2-630B-46BC-9FE6-314D4E11953C}" name="Interaction Type (English)"/>
    <tableColumn id="46" xr3:uid="{8D0A6CB0-1957-4557-8A15-92B83F963561}" name="Parent Accountabil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465ECB-040D-4AA7-9856-307C4FCB826A}" name="Table3" displayName="Table3" ref="A3:AT157" totalsRowShown="0">
  <autoFilter ref="A3:AT157" xr:uid="{7A465ECB-040D-4AA7-9856-307C4FCB826A}"/>
  <tableColumns count="46">
    <tableColumn id="1" xr3:uid="{D8070364-D2B4-475C-A2C5-D307FDB6FADB}" name="Created On" dataDxfId="1"/>
    <tableColumn id="2" xr3:uid="{2BA7965C-C7D0-4555-89CC-B420C2C83864}" name="Case Number"/>
    <tableColumn id="3" xr3:uid="{CD7E941C-1F34-4ACE-B6E6-51D8AB1A4039}" name="Case Type"/>
    <tableColumn id="4" xr3:uid="{8097E23C-7715-4026-BE82-E2987D5F91F1}" name="Interaction Type"/>
    <tableColumn id="5" xr3:uid="{C651F316-F028-47D9-8F13-0D482E1237DB}" name="Interaction Subtype"/>
    <tableColumn id="6" xr3:uid="{F5810A10-0FEF-4F4B-BA6E-EC7EE5A0D4CA}" name="Legacy Interaction Type"/>
    <tableColumn id="7" xr3:uid="{D5A3591C-A230-4A2E-97B5-286F9B2EB039}" name="OOB or Reliability?"/>
    <tableColumn id="8" xr3:uid="{2B48B39F-9FDF-4411-A36F-0910E79D5AE4}" name="Brand"/>
    <tableColumn id="9" xr3:uid="{A1B59053-B934-41E3-88EB-09B4C3CFEA01}" name="Category"/>
    <tableColumn id="10" xr3:uid="{ED6DDC43-06B5-445A-B5A1-28ED8DD3852B}" name="Series"/>
    <tableColumn id="11" xr3:uid="{3C5B7E71-17E4-4DE3-A1D8-C5D4B96C5CDF}" name="Factory"/>
    <tableColumn id="12" xr3:uid="{A765B8ED-42B7-4CFB-925E-E9B09AADADE4}" name="Description" dataDxfId="0"/>
    <tableColumn id="13" xr3:uid="{F25CFC8F-7090-4925-AD23-4843DD9F3094}" name="Customer"/>
    <tableColumn id="14" xr3:uid="{BB270A6F-0DE8-4AB7-8DA2-222E9DFF59CE}" name="Original Order #"/>
    <tableColumn id="15" xr3:uid="{23FDDAF5-8844-432B-94F8-5D83B7C4EB31}" name="PO #"/>
    <tableColumn id="16" xr3:uid="{1AC93478-0FE2-46E2-9C63-B50B3A7D51CB}" name="Invoice #"/>
    <tableColumn id="17" xr3:uid="{B886A5C2-E299-4494-A4E4-97EFAA015987}" name="Line Number"/>
    <tableColumn id="18" xr3:uid="{53C09B4F-8108-4C27-A079-11F1DD64FEBB}" name="Brand2"/>
    <tableColumn id="19" xr3:uid="{BC7433A2-E845-4F82-BF3B-8CA7EE8DDC1F}" name="Category3"/>
    <tableColumn id="20" xr3:uid="{B2577B87-8FA7-490B-87F6-0840675A9213}" name="Series4"/>
    <tableColumn id="21" xr3:uid="{2E257F7E-67E4-4848-8798-B8E6972E5775}" name="Factory5"/>
    <tableColumn id="22" xr3:uid="{A83DCCAD-B5C0-4661-92DB-7AC3118D69BD}" name="Quantity"/>
    <tableColumn id="23" xr3:uid="{8E54FED4-B0EE-4098-9A6C-33BB557DF7A6}" name="Reason"/>
    <tableColumn id="24" xr3:uid="{137570B9-ADCB-4A72-AE31-29FBDF780CE8}" name="Detail Reason"/>
    <tableColumn id="25" xr3:uid="{4D0A7A54-AC94-4739-AD95-3AD08BAF2443}" name="Subdetail Reason"/>
    <tableColumn id="26" xr3:uid="{DC318DC0-CCB9-4163-85E5-33D08CF1F084}" name="Point of Failure"/>
    <tableColumn id="27" xr3:uid="{00EC966F-CCED-44FD-A813-C08F5E2D54B7}" name="Accountability"/>
    <tableColumn id="28" xr3:uid="{B676BC48-E623-4081-83FE-4BA8AA51CF5E}" name="Part #"/>
    <tableColumn id="29" xr3:uid="{D635D27D-2CC7-4CA3-9CCF-ACE4EDAF5C81}" name="Component"/>
    <tableColumn id="30" xr3:uid="{C11461C4-8DB6-44E6-90AD-533E1A7B8C89}" name="Subcomponent"/>
    <tableColumn id="31" xr3:uid="{BB0FDF41-A919-4015-95A9-EF35A84935FE}" name="Manufacture Date"/>
    <tableColumn id="32" xr3:uid="{BFDD67DE-6070-4707-884D-B82671AA8790}" name="Ship Date"/>
    <tableColumn id="33" xr3:uid="{DC4A51E0-ED71-41F4-B42E-E8DF15FF2EB0}" name="Installation Date"/>
    <tableColumn id="34" xr3:uid="{C102D146-4547-4413-A2E1-D879E043448B}" name="# of Lines Affected"/>
    <tableColumn id="35" xr3:uid="{61C339BD-8F13-408A-A2CA-08AC075C8609}" name="Transaction Type"/>
    <tableColumn id="36" xr3:uid="{3C11C99D-53E9-466E-9EEB-1D41F846737E}" name="Status"/>
    <tableColumn id="37" xr3:uid="{48158461-98E5-411C-957F-11B9E502DCE8}" name="Created By"/>
    <tableColumn id="38" xr3:uid="{2065A390-DA12-4494-A2D7-74B1CD5AFE01}" name="Owner"/>
    <tableColumn id="39" xr3:uid="{AE00B32C-D959-413C-B346-65FC5DB6EA32}" name="Functional Group"/>
    <tableColumn id="40" xr3:uid="{C6BD6926-0BBC-466A-995B-CA998641CB22}" name="Brand / Category"/>
    <tableColumn id="41" xr3:uid="{15D82012-84CD-476E-B955-7D12036413C2}" name="Reason (English)"/>
    <tableColumn id="42" xr3:uid="{DDA1353B-A600-45E0-9501-BE722B149449}" name="Detail Reason (English)"/>
    <tableColumn id="43" xr3:uid="{F2AFCB0D-A9A5-4A4D-9596-6CCEE0878413}" name="Subdetail Reason (English)"/>
    <tableColumn id="44" xr3:uid="{1CCBE6CC-59EF-4CDF-8419-F739E00274D8}" name="Open Month"/>
    <tableColumn id="45" xr3:uid="{363356E6-A141-4ADC-B80B-948C6D355060}" name="Interaction Type (English)"/>
    <tableColumn id="46" xr3:uid="{FF31A2F1-053E-42EE-96EB-9916DBA8CEDD}" name="Parent Accountabil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B5AE-AB8D-40E2-B06C-07158E589699}">
  <dimension ref="A1:AT157"/>
  <sheetViews>
    <sheetView topLeftCell="M1" workbookViewId="0">
      <selection activeCell="A3" sqref="A3:AT157"/>
    </sheetView>
  </sheetViews>
  <sheetFormatPr defaultRowHeight="15" x14ac:dyDescent="0.25"/>
  <cols>
    <col min="1" max="1" width="14.5703125" bestFit="1" customWidth="1"/>
    <col min="2" max="2" width="15.7109375" bestFit="1" customWidth="1"/>
    <col min="3" max="3" width="12.5703125" bestFit="1" customWidth="1"/>
    <col min="4" max="4" width="22.28515625" bestFit="1" customWidth="1"/>
    <col min="5" max="5" width="38.140625" bestFit="1" customWidth="1"/>
    <col min="6" max="6" width="24.85546875" bestFit="1" customWidth="1"/>
    <col min="7" max="7" width="20.42578125" bestFit="1" customWidth="1"/>
    <col min="8" max="8" width="18.42578125" bestFit="1" customWidth="1"/>
    <col min="9" max="9" width="11.42578125" bestFit="1" customWidth="1"/>
    <col min="10" max="10" width="11.28515625" bestFit="1" customWidth="1"/>
    <col min="11" max="11" width="9.85546875" bestFit="1" customWidth="1"/>
    <col min="12" max="12" width="255.7109375" bestFit="1" customWidth="1"/>
    <col min="13" max="13" width="48" bestFit="1" customWidth="1"/>
    <col min="14" max="14" width="21.42578125" bestFit="1" customWidth="1"/>
    <col min="15" max="15" width="12.5703125" bestFit="1" customWidth="1"/>
    <col min="16" max="16" width="23.7109375" bestFit="1" customWidth="1"/>
    <col min="17" max="17" width="14.85546875" bestFit="1" customWidth="1"/>
    <col min="18" max="18" width="22.85546875" bestFit="1" customWidth="1"/>
    <col min="19" max="19" width="15.28515625" bestFit="1" customWidth="1"/>
    <col min="20" max="20" width="12.140625" bestFit="1" customWidth="1"/>
    <col min="21" max="21" width="10.85546875" bestFit="1" customWidth="1"/>
    <col min="22" max="22" width="11" bestFit="1" customWidth="1"/>
    <col min="23" max="23" width="182.42578125" bestFit="1" customWidth="1"/>
    <col min="24" max="24" width="166" bestFit="1" customWidth="1"/>
    <col min="25" max="25" width="19.140625" bestFit="1" customWidth="1"/>
    <col min="26" max="26" width="18.140625" bestFit="1" customWidth="1"/>
    <col min="27" max="27" width="16.28515625" bestFit="1" customWidth="1"/>
    <col min="28" max="28" width="50" bestFit="1" customWidth="1"/>
    <col min="29" max="29" width="14" bestFit="1" customWidth="1"/>
    <col min="30" max="30" width="17.140625" bestFit="1" customWidth="1"/>
    <col min="31" max="31" width="19.5703125" bestFit="1" customWidth="1"/>
    <col min="32" max="32" width="12" bestFit="1" customWidth="1"/>
    <col min="33" max="33" width="18.28515625" bestFit="1" customWidth="1"/>
    <col min="34" max="34" width="20.28515625" bestFit="1" customWidth="1"/>
    <col min="35" max="35" width="18.5703125" bestFit="1" customWidth="1"/>
    <col min="36" max="36" width="9.28515625" bestFit="1" customWidth="1"/>
    <col min="37" max="37" width="15.85546875" bestFit="1" customWidth="1"/>
    <col min="38" max="38" width="18.85546875" bestFit="1" customWidth="1"/>
    <col min="39" max="39" width="20" bestFit="1" customWidth="1"/>
    <col min="40" max="40" width="29.42578125" bestFit="1" customWidth="1"/>
    <col min="41" max="41" width="34" bestFit="1" customWidth="1"/>
    <col min="42" max="42" width="38.28515625" bestFit="1" customWidth="1"/>
    <col min="43" max="43" width="28" bestFit="1" customWidth="1"/>
    <col min="44" max="44" width="14.28515625" bestFit="1" customWidth="1"/>
    <col min="45" max="45" width="26.7109375" bestFit="1" customWidth="1"/>
    <col min="46" max="46" width="22.7109375" bestFit="1" customWidth="1"/>
  </cols>
  <sheetData>
    <row r="1" spans="1:46" x14ac:dyDescent="0.25">
      <c r="A1" s="4" t="s">
        <v>970</v>
      </c>
    </row>
    <row r="3" spans="1:46" x14ac:dyDescent="0.25">
      <c r="A3" t="s">
        <v>127</v>
      </c>
      <c r="B3" t="s">
        <v>128</v>
      </c>
      <c r="C3" t="s">
        <v>129</v>
      </c>
      <c r="D3" t="s">
        <v>130</v>
      </c>
      <c r="E3" t="s">
        <v>131</v>
      </c>
      <c r="F3" t="s">
        <v>132</v>
      </c>
      <c r="G3" t="s">
        <v>133</v>
      </c>
      <c r="H3" t="s">
        <v>134</v>
      </c>
      <c r="I3" t="s">
        <v>135</v>
      </c>
      <c r="J3" t="s">
        <v>136</v>
      </c>
      <c r="K3" t="s">
        <v>0</v>
      </c>
      <c r="L3" t="s">
        <v>137</v>
      </c>
      <c r="M3" t="s">
        <v>138</v>
      </c>
      <c r="N3" t="s">
        <v>139</v>
      </c>
      <c r="O3" t="s">
        <v>140</v>
      </c>
      <c r="P3" t="s">
        <v>141</v>
      </c>
      <c r="Q3" t="s">
        <v>142</v>
      </c>
      <c r="R3" t="s">
        <v>143</v>
      </c>
      <c r="S3" t="s">
        <v>144</v>
      </c>
      <c r="T3" t="s">
        <v>145</v>
      </c>
      <c r="U3" t="s">
        <v>146</v>
      </c>
      <c r="V3" t="s">
        <v>147</v>
      </c>
      <c r="W3" t="s">
        <v>148</v>
      </c>
      <c r="X3" t="s">
        <v>149</v>
      </c>
      <c r="Y3" t="s">
        <v>150</v>
      </c>
      <c r="Z3" t="s">
        <v>151</v>
      </c>
      <c r="AA3" t="s">
        <v>152</v>
      </c>
      <c r="AB3" t="s">
        <v>153</v>
      </c>
      <c r="AC3" t="s">
        <v>154</v>
      </c>
      <c r="AD3" t="s">
        <v>155</v>
      </c>
      <c r="AE3" t="s">
        <v>156</v>
      </c>
      <c r="AF3" t="s">
        <v>157</v>
      </c>
      <c r="AG3" t="s">
        <v>158</v>
      </c>
      <c r="AH3" t="s">
        <v>159</v>
      </c>
      <c r="AI3" t="s">
        <v>160</v>
      </c>
      <c r="AJ3" t="s">
        <v>161</v>
      </c>
      <c r="AK3" t="s">
        <v>162</v>
      </c>
      <c r="AL3" t="s">
        <v>163</v>
      </c>
      <c r="AM3" t="s">
        <v>164</v>
      </c>
      <c r="AN3" t="s">
        <v>165</v>
      </c>
      <c r="AO3" t="s">
        <v>166</v>
      </c>
      <c r="AP3" t="s">
        <v>167</v>
      </c>
      <c r="AQ3" t="s">
        <v>168</v>
      </c>
      <c r="AR3" t="s">
        <v>169</v>
      </c>
      <c r="AS3" t="s">
        <v>170</v>
      </c>
      <c r="AT3" t="s">
        <v>171</v>
      </c>
    </row>
    <row r="4" spans="1:46" ht="105" x14ac:dyDescent="0.25">
      <c r="A4" s="5">
        <v>46058.572152777779</v>
      </c>
      <c r="B4" t="s">
        <v>172</v>
      </c>
      <c r="C4" t="s">
        <v>173</v>
      </c>
      <c r="D4" t="s">
        <v>174</v>
      </c>
      <c r="E4" t="s">
        <v>147</v>
      </c>
      <c r="H4" t="s">
        <v>175</v>
      </c>
      <c r="I4" t="s">
        <v>176</v>
      </c>
      <c r="J4" t="s">
        <v>5</v>
      </c>
      <c r="K4" t="s">
        <v>177</v>
      </c>
      <c r="L4" s="6" t="s">
        <v>178</v>
      </c>
      <c r="M4" t="s">
        <v>21</v>
      </c>
      <c r="N4" t="s">
        <v>179</v>
      </c>
      <c r="O4" t="s">
        <v>180</v>
      </c>
      <c r="P4" t="s">
        <v>181</v>
      </c>
      <c r="R4" t="s">
        <v>175</v>
      </c>
      <c r="S4" t="s">
        <v>176</v>
      </c>
      <c r="T4" t="s">
        <v>5</v>
      </c>
      <c r="U4" t="s">
        <v>177</v>
      </c>
      <c r="V4">
        <v>1</v>
      </c>
      <c r="W4" t="s">
        <v>182</v>
      </c>
      <c r="X4" t="s">
        <v>183</v>
      </c>
      <c r="Z4" t="s">
        <v>184</v>
      </c>
      <c r="AF4">
        <v>45992.791666666701</v>
      </c>
      <c r="AI4" t="s">
        <v>185</v>
      </c>
      <c r="AJ4" t="s">
        <v>186</v>
      </c>
      <c r="AK4" t="s">
        <v>187</v>
      </c>
      <c r="AL4" t="s">
        <v>187</v>
      </c>
      <c r="AM4" t="s">
        <v>188</v>
      </c>
      <c r="AN4" t="s">
        <v>189</v>
      </c>
      <c r="AO4" t="s">
        <v>6</v>
      </c>
      <c r="AP4" t="s">
        <v>9</v>
      </c>
      <c r="AQ4" t="s">
        <v>53</v>
      </c>
      <c r="AR4" t="s">
        <v>190</v>
      </c>
      <c r="AS4" t="s">
        <v>174</v>
      </c>
      <c r="AT4" t="s">
        <v>191</v>
      </c>
    </row>
    <row r="5" spans="1:46" ht="105" x14ac:dyDescent="0.25">
      <c r="A5" s="5">
        <v>46058.576956018522</v>
      </c>
      <c r="B5" t="s">
        <v>192</v>
      </c>
      <c r="C5" t="s">
        <v>173</v>
      </c>
      <c r="D5" t="s">
        <v>174</v>
      </c>
      <c r="E5" t="s">
        <v>147</v>
      </c>
      <c r="H5" t="s">
        <v>175</v>
      </c>
      <c r="I5" t="s">
        <v>176</v>
      </c>
      <c r="J5" t="s">
        <v>5</v>
      </c>
      <c r="K5" t="s">
        <v>177</v>
      </c>
      <c r="L5" s="6" t="s">
        <v>193</v>
      </c>
      <c r="M5" t="s">
        <v>21</v>
      </c>
      <c r="N5" t="s">
        <v>194</v>
      </c>
      <c r="O5" t="s">
        <v>195</v>
      </c>
      <c r="P5" t="s">
        <v>196</v>
      </c>
      <c r="R5" t="s">
        <v>175</v>
      </c>
      <c r="S5" t="s">
        <v>176</v>
      </c>
      <c r="T5" t="s">
        <v>5</v>
      </c>
      <c r="U5" t="s">
        <v>177</v>
      </c>
      <c r="V5">
        <v>1</v>
      </c>
      <c r="W5" t="s">
        <v>182</v>
      </c>
      <c r="X5" t="s">
        <v>183</v>
      </c>
      <c r="Z5" t="s">
        <v>184</v>
      </c>
      <c r="AF5">
        <v>45993.791666666701</v>
      </c>
      <c r="AI5" t="s">
        <v>185</v>
      </c>
      <c r="AJ5" t="s">
        <v>186</v>
      </c>
      <c r="AK5" t="s">
        <v>187</v>
      </c>
      <c r="AL5" t="s">
        <v>187</v>
      </c>
      <c r="AM5" t="s">
        <v>188</v>
      </c>
      <c r="AN5" t="s">
        <v>189</v>
      </c>
      <c r="AO5" t="s">
        <v>6</v>
      </c>
      <c r="AP5" t="s">
        <v>9</v>
      </c>
      <c r="AQ5" t="s">
        <v>53</v>
      </c>
      <c r="AR5" t="s">
        <v>190</v>
      </c>
      <c r="AS5" t="s">
        <v>174</v>
      </c>
      <c r="AT5" t="s">
        <v>191</v>
      </c>
    </row>
    <row r="6" spans="1:46" ht="375" x14ac:dyDescent="0.25">
      <c r="A6" s="5">
        <v>46066.553252314814</v>
      </c>
      <c r="B6" t="s">
        <v>197</v>
      </c>
      <c r="C6" t="s">
        <v>173</v>
      </c>
      <c r="D6" t="s">
        <v>198</v>
      </c>
      <c r="E6" t="s">
        <v>199</v>
      </c>
      <c r="H6" t="s">
        <v>175</v>
      </c>
      <c r="I6" t="s">
        <v>176</v>
      </c>
      <c r="J6" t="s">
        <v>5</v>
      </c>
      <c r="K6" t="s">
        <v>200</v>
      </c>
      <c r="L6" s="6" t="s">
        <v>201</v>
      </c>
      <c r="M6" t="s">
        <v>10</v>
      </c>
      <c r="N6" t="s">
        <v>202</v>
      </c>
      <c r="O6" t="s">
        <v>203</v>
      </c>
      <c r="P6" t="s">
        <v>204</v>
      </c>
      <c r="Q6">
        <v>7</v>
      </c>
      <c r="R6" t="s">
        <v>175</v>
      </c>
      <c r="S6" t="s">
        <v>176</v>
      </c>
      <c r="T6" t="s">
        <v>5</v>
      </c>
      <c r="U6" t="s">
        <v>200</v>
      </c>
      <c r="V6">
        <v>5</v>
      </c>
      <c r="W6" t="s">
        <v>205</v>
      </c>
      <c r="X6" t="s">
        <v>206</v>
      </c>
      <c r="Z6" t="s">
        <v>138</v>
      </c>
      <c r="AF6">
        <v>46051.791666666701</v>
      </c>
      <c r="AI6" t="s">
        <v>185</v>
      </c>
      <c r="AJ6" t="s">
        <v>186</v>
      </c>
      <c r="AK6" t="s">
        <v>207</v>
      </c>
      <c r="AL6" t="s">
        <v>207</v>
      </c>
      <c r="AM6" t="s">
        <v>208</v>
      </c>
      <c r="AN6" t="s">
        <v>189</v>
      </c>
      <c r="AO6" t="s">
        <v>15</v>
      </c>
      <c r="AP6" t="s">
        <v>23</v>
      </c>
      <c r="AQ6" t="s">
        <v>53</v>
      </c>
      <c r="AR6" t="s">
        <v>190</v>
      </c>
      <c r="AS6" t="s">
        <v>198</v>
      </c>
      <c r="AT6" t="s">
        <v>138</v>
      </c>
    </row>
    <row r="7" spans="1:46" ht="375" x14ac:dyDescent="0.25">
      <c r="A7" s="5">
        <v>46066.553252314814</v>
      </c>
      <c r="B7" t="s">
        <v>197</v>
      </c>
      <c r="C7" t="s">
        <v>173</v>
      </c>
      <c r="D7" t="s">
        <v>198</v>
      </c>
      <c r="E7" t="s">
        <v>199</v>
      </c>
      <c r="H7" t="s">
        <v>175</v>
      </c>
      <c r="I7" t="s">
        <v>176</v>
      </c>
      <c r="J7" t="s">
        <v>5</v>
      </c>
      <c r="K7" t="s">
        <v>200</v>
      </c>
      <c r="L7" s="6" t="s">
        <v>201</v>
      </c>
      <c r="M7" t="s">
        <v>10</v>
      </c>
      <c r="N7" t="s">
        <v>202</v>
      </c>
      <c r="O7" t="s">
        <v>203</v>
      </c>
      <c r="P7" t="s">
        <v>204</v>
      </c>
      <c r="Q7">
        <v>6</v>
      </c>
      <c r="R7" t="s">
        <v>175</v>
      </c>
      <c r="S7" t="s">
        <v>176</v>
      </c>
      <c r="T7" t="s">
        <v>5</v>
      </c>
      <c r="U7" t="s">
        <v>200</v>
      </c>
      <c r="V7">
        <v>8</v>
      </c>
      <c r="W7" t="s">
        <v>205</v>
      </c>
      <c r="X7" t="s">
        <v>206</v>
      </c>
      <c r="Z7" t="s">
        <v>138</v>
      </c>
      <c r="AF7">
        <v>46051.791666666701</v>
      </c>
      <c r="AI7" t="s">
        <v>185</v>
      </c>
      <c r="AJ7" t="s">
        <v>186</v>
      </c>
      <c r="AK7" t="s">
        <v>207</v>
      </c>
      <c r="AL7" t="s">
        <v>207</v>
      </c>
      <c r="AM7" t="s">
        <v>208</v>
      </c>
      <c r="AN7" t="s">
        <v>189</v>
      </c>
      <c r="AO7" t="s">
        <v>15</v>
      </c>
      <c r="AP7" t="s">
        <v>23</v>
      </c>
      <c r="AQ7" t="s">
        <v>53</v>
      </c>
      <c r="AR7" t="s">
        <v>190</v>
      </c>
      <c r="AS7" t="s">
        <v>198</v>
      </c>
      <c r="AT7" t="s">
        <v>138</v>
      </c>
    </row>
    <row r="8" spans="1:46" ht="375" x14ac:dyDescent="0.25">
      <c r="A8" s="5">
        <v>46066.553252314814</v>
      </c>
      <c r="B8" t="s">
        <v>197</v>
      </c>
      <c r="C8" t="s">
        <v>173</v>
      </c>
      <c r="D8" t="s">
        <v>198</v>
      </c>
      <c r="E8" t="s">
        <v>199</v>
      </c>
      <c r="H8" t="s">
        <v>175</v>
      </c>
      <c r="I8" t="s">
        <v>176</v>
      </c>
      <c r="J8" t="s">
        <v>5</v>
      </c>
      <c r="K8" t="s">
        <v>200</v>
      </c>
      <c r="L8" s="6" t="s">
        <v>201</v>
      </c>
      <c r="M8" t="s">
        <v>10</v>
      </c>
      <c r="N8" t="s">
        <v>202</v>
      </c>
      <c r="O8" t="s">
        <v>203</v>
      </c>
      <c r="P8" t="s">
        <v>204</v>
      </c>
      <c r="Q8">
        <v>5</v>
      </c>
      <c r="R8" t="s">
        <v>175</v>
      </c>
      <c r="S8" t="s">
        <v>176</v>
      </c>
      <c r="T8" t="s">
        <v>5</v>
      </c>
      <c r="U8" t="s">
        <v>200</v>
      </c>
      <c r="V8">
        <v>80</v>
      </c>
      <c r="W8" t="s">
        <v>205</v>
      </c>
      <c r="X8" t="s">
        <v>206</v>
      </c>
      <c r="Z8" t="s">
        <v>138</v>
      </c>
      <c r="AF8">
        <v>46051.791666666701</v>
      </c>
      <c r="AI8" t="s">
        <v>185</v>
      </c>
      <c r="AJ8" t="s">
        <v>186</v>
      </c>
      <c r="AK8" t="s">
        <v>207</v>
      </c>
      <c r="AL8" t="s">
        <v>207</v>
      </c>
      <c r="AM8" t="s">
        <v>208</v>
      </c>
      <c r="AN8" t="s">
        <v>189</v>
      </c>
      <c r="AO8" t="s">
        <v>15</v>
      </c>
      <c r="AP8" t="s">
        <v>23</v>
      </c>
      <c r="AQ8" t="s">
        <v>53</v>
      </c>
      <c r="AR8" t="s">
        <v>190</v>
      </c>
      <c r="AS8" t="s">
        <v>198</v>
      </c>
      <c r="AT8" t="s">
        <v>138</v>
      </c>
    </row>
    <row r="9" spans="1:46" ht="375" x14ac:dyDescent="0.25">
      <c r="A9" s="5">
        <v>46066.553252314814</v>
      </c>
      <c r="B9" t="s">
        <v>197</v>
      </c>
      <c r="C9" t="s">
        <v>173</v>
      </c>
      <c r="D9" t="s">
        <v>198</v>
      </c>
      <c r="E9" t="s">
        <v>199</v>
      </c>
      <c r="H9" t="s">
        <v>175</v>
      </c>
      <c r="I9" t="s">
        <v>176</v>
      </c>
      <c r="J9" t="s">
        <v>5</v>
      </c>
      <c r="K9" t="s">
        <v>200</v>
      </c>
      <c r="L9" s="6" t="s">
        <v>201</v>
      </c>
      <c r="M9" t="s">
        <v>10</v>
      </c>
      <c r="N9" t="s">
        <v>202</v>
      </c>
      <c r="O9" t="s">
        <v>203</v>
      </c>
      <c r="P9" t="s">
        <v>204</v>
      </c>
      <c r="Q9">
        <v>4</v>
      </c>
      <c r="R9" t="s">
        <v>175</v>
      </c>
      <c r="S9" t="s">
        <v>176</v>
      </c>
      <c r="T9" t="s">
        <v>11</v>
      </c>
      <c r="U9" t="s">
        <v>200</v>
      </c>
      <c r="V9">
        <v>200</v>
      </c>
      <c r="W9" t="s">
        <v>205</v>
      </c>
      <c r="X9" t="s">
        <v>206</v>
      </c>
      <c r="Z9" t="s">
        <v>138</v>
      </c>
      <c r="AF9">
        <v>46051.791666666701</v>
      </c>
      <c r="AI9" t="s">
        <v>185</v>
      </c>
      <c r="AJ9" t="s">
        <v>186</v>
      </c>
      <c r="AK9" t="s">
        <v>207</v>
      </c>
      <c r="AL9" t="s">
        <v>207</v>
      </c>
      <c r="AM9" t="s">
        <v>208</v>
      </c>
      <c r="AN9" t="s">
        <v>189</v>
      </c>
      <c r="AO9" t="s">
        <v>15</v>
      </c>
      <c r="AP9" t="s">
        <v>23</v>
      </c>
      <c r="AQ9" t="s">
        <v>53</v>
      </c>
      <c r="AR9" t="s">
        <v>190</v>
      </c>
      <c r="AS9" t="s">
        <v>198</v>
      </c>
      <c r="AT9" t="s">
        <v>138</v>
      </c>
    </row>
    <row r="10" spans="1:46" ht="375" x14ac:dyDescent="0.25">
      <c r="A10" s="5">
        <v>46066.553252314814</v>
      </c>
      <c r="B10" t="s">
        <v>197</v>
      </c>
      <c r="C10" t="s">
        <v>173</v>
      </c>
      <c r="D10" t="s">
        <v>198</v>
      </c>
      <c r="E10" t="s">
        <v>199</v>
      </c>
      <c r="H10" t="s">
        <v>175</v>
      </c>
      <c r="I10" t="s">
        <v>176</v>
      </c>
      <c r="J10" t="s">
        <v>5</v>
      </c>
      <c r="K10" t="s">
        <v>200</v>
      </c>
      <c r="L10" s="6" t="s">
        <v>201</v>
      </c>
      <c r="M10" t="s">
        <v>10</v>
      </c>
      <c r="N10" t="s">
        <v>202</v>
      </c>
      <c r="O10" t="s">
        <v>203</v>
      </c>
      <c r="P10" t="s">
        <v>204</v>
      </c>
      <c r="Q10">
        <v>3</v>
      </c>
      <c r="R10" t="s">
        <v>175</v>
      </c>
      <c r="S10" t="s">
        <v>176</v>
      </c>
      <c r="T10" t="s">
        <v>11</v>
      </c>
      <c r="U10" t="s">
        <v>200</v>
      </c>
      <c r="V10">
        <v>120</v>
      </c>
      <c r="W10" t="s">
        <v>205</v>
      </c>
      <c r="X10" t="s">
        <v>206</v>
      </c>
      <c r="Z10" t="s">
        <v>138</v>
      </c>
      <c r="AF10">
        <v>46051.791666666701</v>
      </c>
      <c r="AI10" t="s">
        <v>185</v>
      </c>
      <c r="AJ10" t="s">
        <v>186</v>
      </c>
      <c r="AK10" t="s">
        <v>207</v>
      </c>
      <c r="AL10" t="s">
        <v>207</v>
      </c>
      <c r="AM10" t="s">
        <v>208</v>
      </c>
      <c r="AN10" t="s">
        <v>189</v>
      </c>
      <c r="AO10" t="s">
        <v>15</v>
      </c>
      <c r="AP10" t="s">
        <v>23</v>
      </c>
      <c r="AQ10" t="s">
        <v>53</v>
      </c>
      <c r="AR10" t="s">
        <v>190</v>
      </c>
      <c r="AS10" t="s">
        <v>198</v>
      </c>
      <c r="AT10" t="s">
        <v>138</v>
      </c>
    </row>
    <row r="11" spans="1:46" ht="375" x14ac:dyDescent="0.25">
      <c r="A11" s="5">
        <v>46066.553252314814</v>
      </c>
      <c r="B11" t="s">
        <v>197</v>
      </c>
      <c r="C11" t="s">
        <v>173</v>
      </c>
      <c r="D11" t="s">
        <v>198</v>
      </c>
      <c r="E11" t="s">
        <v>199</v>
      </c>
      <c r="H11" t="s">
        <v>175</v>
      </c>
      <c r="I11" t="s">
        <v>176</v>
      </c>
      <c r="J11" t="s">
        <v>5</v>
      </c>
      <c r="K11" t="s">
        <v>200</v>
      </c>
      <c r="L11" s="6" t="s">
        <v>201</v>
      </c>
      <c r="M11" t="s">
        <v>10</v>
      </c>
      <c r="N11" t="s">
        <v>202</v>
      </c>
      <c r="O11" t="s">
        <v>203</v>
      </c>
      <c r="P11" t="s">
        <v>204</v>
      </c>
      <c r="Q11">
        <v>2</v>
      </c>
      <c r="R11" t="s">
        <v>175</v>
      </c>
      <c r="S11" t="s">
        <v>176</v>
      </c>
      <c r="T11" t="s">
        <v>5</v>
      </c>
      <c r="U11" t="s">
        <v>200</v>
      </c>
      <c r="V11">
        <v>8</v>
      </c>
      <c r="W11" t="s">
        <v>205</v>
      </c>
      <c r="X11" t="s">
        <v>206</v>
      </c>
      <c r="Z11" t="s">
        <v>138</v>
      </c>
      <c r="AF11">
        <v>46051.791666666701</v>
      </c>
      <c r="AI11" t="s">
        <v>185</v>
      </c>
      <c r="AJ11" t="s">
        <v>186</v>
      </c>
      <c r="AK11" t="s">
        <v>207</v>
      </c>
      <c r="AL11" t="s">
        <v>207</v>
      </c>
      <c r="AM11" t="s">
        <v>208</v>
      </c>
      <c r="AN11" t="s">
        <v>189</v>
      </c>
      <c r="AO11" t="s">
        <v>15</v>
      </c>
      <c r="AP11" t="s">
        <v>23</v>
      </c>
      <c r="AQ11" t="s">
        <v>53</v>
      </c>
      <c r="AR11" t="s">
        <v>190</v>
      </c>
      <c r="AS11" t="s">
        <v>198</v>
      </c>
      <c r="AT11" t="s">
        <v>138</v>
      </c>
    </row>
    <row r="12" spans="1:46" ht="375" x14ac:dyDescent="0.25">
      <c r="A12" s="5">
        <v>46066.553252314814</v>
      </c>
      <c r="B12" t="s">
        <v>197</v>
      </c>
      <c r="C12" t="s">
        <v>173</v>
      </c>
      <c r="D12" t="s">
        <v>198</v>
      </c>
      <c r="E12" t="s">
        <v>199</v>
      </c>
      <c r="H12" t="s">
        <v>175</v>
      </c>
      <c r="I12" t="s">
        <v>176</v>
      </c>
      <c r="J12" t="s">
        <v>5</v>
      </c>
      <c r="K12" t="s">
        <v>200</v>
      </c>
      <c r="L12" s="6" t="s">
        <v>201</v>
      </c>
      <c r="M12" t="s">
        <v>10</v>
      </c>
      <c r="N12" t="s">
        <v>202</v>
      </c>
      <c r="O12" t="s">
        <v>203</v>
      </c>
      <c r="P12" t="s">
        <v>204</v>
      </c>
      <c r="Q12">
        <v>1</v>
      </c>
      <c r="R12" t="s">
        <v>175</v>
      </c>
      <c r="S12" t="s">
        <v>176</v>
      </c>
      <c r="T12" t="s">
        <v>5</v>
      </c>
      <c r="U12" t="s">
        <v>200</v>
      </c>
      <c r="V12">
        <v>8</v>
      </c>
      <c r="W12" t="s">
        <v>205</v>
      </c>
      <c r="X12" t="s">
        <v>206</v>
      </c>
      <c r="Z12" t="s">
        <v>138</v>
      </c>
      <c r="AF12">
        <v>46051.791666666701</v>
      </c>
      <c r="AI12" t="s">
        <v>185</v>
      </c>
      <c r="AJ12" t="s">
        <v>186</v>
      </c>
      <c r="AK12" t="s">
        <v>207</v>
      </c>
      <c r="AL12" t="s">
        <v>207</v>
      </c>
      <c r="AM12" t="s">
        <v>208</v>
      </c>
      <c r="AN12" t="s">
        <v>189</v>
      </c>
      <c r="AO12" t="s">
        <v>15</v>
      </c>
      <c r="AP12" t="s">
        <v>23</v>
      </c>
      <c r="AQ12" t="s">
        <v>53</v>
      </c>
      <c r="AR12" t="s">
        <v>190</v>
      </c>
      <c r="AS12" t="s">
        <v>198</v>
      </c>
      <c r="AT12" t="s">
        <v>138</v>
      </c>
    </row>
    <row r="13" spans="1:46" ht="150" x14ac:dyDescent="0.25">
      <c r="A13" s="5">
        <v>46057.658564814818</v>
      </c>
      <c r="B13" t="s">
        <v>209</v>
      </c>
      <c r="C13" t="s">
        <v>173</v>
      </c>
      <c r="D13" t="s">
        <v>174</v>
      </c>
      <c r="E13" t="s">
        <v>210</v>
      </c>
      <c r="G13" t="s">
        <v>211</v>
      </c>
      <c r="H13" t="s">
        <v>175</v>
      </c>
      <c r="I13" t="s">
        <v>176</v>
      </c>
      <c r="J13" t="s">
        <v>5</v>
      </c>
      <c r="K13" t="s">
        <v>200</v>
      </c>
      <c r="L13" s="6" t="s">
        <v>212</v>
      </c>
      <c r="M13" t="s">
        <v>25</v>
      </c>
      <c r="N13" t="s">
        <v>213</v>
      </c>
      <c r="O13" t="s">
        <v>214</v>
      </c>
      <c r="P13" t="s">
        <v>215</v>
      </c>
      <c r="Q13">
        <v>14</v>
      </c>
      <c r="R13" t="s">
        <v>175</v>
      </c>
      <c r="S13" t="s">
        <v>176</v>
      </c>
      <c r="T13" t="s">
        <v>5</v>
      </c>
      <c r="U13" t="s">
        <v>200</v>
      </c>
      <c r="V13">
        <v>1</v>
      </c>
      <c r="W13" t="s">
        <v>216</v>
      </c>
      <c r="X13" t="s">
        <v>217</v>
      </c>
      <c r="Z13" t="s">
        <v>191</v>
      </c>
      <c r="AB13" t="s">
        <v>218</v>
      </c>
      <c r="AC13" t="s">
        <v>219</v>
      </c>
      <c r="AF13">
        <v>46044.791666666701</v>
      </c>
      <c r="AI13" t="s">
        <v>220</v>
      </c>
      <c r="AJ13" t="s">
        <v>186</v>
      </c>
      <c r="AK13" t="s">
        <v>221</v>
      </c>
      <c r="AL13" t="s">
        <v>221</v>
      </c>
      <c r="AM13" t="s">
        <v>208</v>
      </c>
      <c r="AN13" t="s">
        <v>189</v>
      </c>
      <c r="AO13" t="s">
        <v>51</v>
      </c>
      <c r="AP13" t="s">
        <v>54</v>
      </c>
      <c r="AQ13" t="s">
        <v>53</v>
      </c>
      <c r="AR13" t="s">
        <v>190</v>
      </c>
      <c r="AS13" t="s">
        <v>174</v>
      </c>
      <c r="AT13" t="s">
        <v>191</v>
      </c>
    </row>
    <row r="14" spans="1:46" ht="105" x14ac:dyDescent="0.25">
      <c r="A14" s="5">
        <v>46058.581701388888</v>
      </c>
      <c r="B14" t="s">
        <v>222</v>
      </c>
      <c r="C14" t="s">
        <v>173</v>
      </c>
      <c r="D14" t="s">
        <v>174</v>
      </c>
      <c r="E14" t="s">
        <v>147</v>
      </c>
      <c r="H14" t="s">
        <v>175</v>
      </c>
      <c r="I14" t="s">
        <v>176</v>
      </c>
      <c r="J14" t="s">
        <v>5</v>
      </c>
      <c r="K14" t="s">
        <v>177</v>
      </c>
      <c r="L14" s="6" t="s">
        <v>223</v>
      </c>
      <c r="M14" t="s">
        <v>21</v>
      </c>
      <c r="N14" t="s">
        <v>224</v>
      </c>
      <c r="O14" t="s">
        <v>225</v>
      </c>
      <c r="P14" t="s">
        <v>226</v>
      </c>
      <c r="R14" t="s">
        <v>175</v>
      </c>
      <c r="S14" t="s">
        <v>176</v>
      </c>
      <c r="T14" t="s">
        <v>5</v>
      </c>
      <c r="U14" t="s">
        <v>177</v>
      </c>
      <c r="V14">
        <v>1</v>
      </c>
      <c r="W14" t="s">
        <v>182</v>
      </c>
      <c r="X14" t="s">
        <v>183</v>
      </c>
      <c r="Z14" t="s">
        <v>184</v>
      </c>
      <c r="AF14">
        <v>45993.791666666701</v>
      </c>
      <c r="AI14" t="s">
        <v>185</v>
      </c>
      <c r="AJ14" t="s">
        <v>186</v>
      </c>
      <c r="AK14" t="s">
        <v>187</v>
      </c>
      <c r="AL14" t="s">
        <v>187</v>
      </c>
      <c r="AM14" t="s">
        <v>188</v>
      </c>
      <c r="AN14" t="s">
        <v>189</v>
      </c>
      <c r="AO14" t="s">
        <v>6</v>
      </c>
      <c r="AP14" t="s">
        <v>9</v>
      </c>
      <c r="AQ14" t="s">
        <v>53</v>
      </c>
      <c r="AR14" t="s">
        <v>190</v>
      </c>
      <c r="AS14" t="s">
        <v>174</v>
      </c>
      <c r="AT14" t="s">
        <v>191</v>
      </c>
    </row>
    <row r="15" spans="1:46" ht="105" x14ac:dyDescent="0.25">
      <c r="A15" s="5">
        <v>46058.593240740738</v>
      </c>
      <c r="B15" t="s">
        <v>227</v>
      </c>
      <c r="C15" t="s">
        <v>173</v>
      </c>
      <c r="D15" t="s">
        <v>174</v>
      </c>
      <c r="E15" t="s">
        <v>147</v>
      </c>
      <c r="H15" t="s">
        <v>175</v>
      </c>
      <c r="I15" t="s">
        <v>176</v>
      </c>
      <c r="J15" t="s">
        <v>5</v>
      </c>
      <c r="K15" t="s">
        <v>177</v>
      </c>
      <c r="L15" s="6" t="s">
        <v>228</v>
      </c>
      <c r="M15" t="s">
        <v>7</v>
      </c>
      <c r="N15" t="s">
        <v>229</v>
      </c>
      <c r="O15" t="s">
        <v>230</v>
      </c>
      <c r="P15" t="s">
        <v>231</v>
      </c>
      <c r="R15" t="s">
        <v>175</v>
      </c>
      <c r="S15" t="s">
        <v>176</v>
      </c>
      <c r="T15" t="s">
        <v>5</v>
      </c>
      <c r="U15" t="s">
        <v>177</v>
      </c>
      <c r="V15">
        <v>1</v>
      </c>
      <c r="W15" t="s">
        <v>182</v>
      </c>
      <c r="X15" t="s">
        <v>183</v>
      </c>
      <c r="Z15" t="s">
        <v>184</v>
      </c>
      <c r="AF15">
        <v>45971.791666666701</v>
      </c>
      <c r="AI15" t="s">
        <v>185</v>
      </c>
      <c r="AJ15" t="s">
        <v>186</v>
      </c>
      <c r="AK15" t="s">
        <v>187</v>
      </c>
      <c r="AL15" t="s">
        <v>187</v>
      </c>
      <c r="AM15" t="s">
        <v>188</v>
      </c>
      <c r="AN15" t="s">
        <v>189</v>
      </c>
      <c r="AO15" t="s">
        <v>6</v>
      </c>
      <c r="AP15" t="s">
        <v>9</v>
      </c>
      <c r="AQ15" t="s">
        <v>53</v>
      </c>
      <c r="AR15" t="s">
        <v>190</v>
      </c>
      <c r="AS15" t="s">
        <v>174</v>
      </c>
      <c r="AT15" t="s">
        <v>191</v>
      </c>
    </row>
    <row r="16" spans="1:46" ht="105" x14ac:dyDescent="0.25">
      <c r="A16" s="5">
        <v>46058.59883101852</v>
      </c>
      <c r="B16" t="s">
        <v>232</v>
      </c>
      <c r="C16" t="s">
        <v>173</v>
      </c>
      <c r="D16" t="s">
        <v>174</v>
      </c>
      <c r="E16" t="s">
        <v>147</v>
      </c>
      <c r="H16" t="s">
        <v>175</v>
      </c>
      <c r="I16" t="s">
        <v>176</v>
      </c>
      <c r="J16" t="s">
        <v>5</v>
      </c>
      <c r="K16" t="s">
        <v>177</v>
      </c>
      <c r="L16" s="6" t="s">
        <v>233</v>
      </c>
      <c r="M16" t="s">
        <v>7</v>
      </c>
      <c r="N16" t="s">
        <v>234</v>
      </c>
      <c r="O16" t="s">
        <v>235</v>
      </c>
      <c r="P16" t="s">
        <v>236</v>
      </c>
      <c r="R16" t="s">
        <v>175</v>
      </c>
      <c r="S16" t="s">
        <v>176</v>
      </c>
      <c r="T16" t="s">
        <v>5</v>
      </c>
      <c r="U16" t="s">
        <v>177</v>
      </c>
      <c r="V16">
        <v>1</v>
      </c>
      <c r="W16" t="s">
        <v>182</v>
      </c>
      <c r="X16" t="s">
        <v>183</v>
      </c>
      <c r="Z16" t="s">
        <v>184</v>
      </c>
      <c r="AF16">
        <v>45974.791666666701</v>
      </c>
      <c r="AI16" t="s">
        <v>185</v>
      </c>
      <c r="AJ16" t="s">
        <v>186</v>
      </c>
      <c r="AK16" t="s">
        <v>187</v>
      </c>
      <c r="AL16" t="s">
        <v>187</v>
      </c>
      <c r="AM16" t="s">
        <v>188</v>
      </c>
      <c r="AN16" t="s">
        <v>189</v>
      </c>
      <c r="AO16" t="s">
        <v>6</v>
      </c>
      <c r="AP16" t="s">
        <v>9</v>
      </c>
      <c r="AQ16" t="s">
        <v>53</v>
      </c>
      <c r="AR16" t="s">
        <v>190</v>
      </c>
      <c r="AS16" t="s">
        <v>174</v>
      </c>
      <c r="AT16" t="s">
        <v>191</v>
      </c>
    </row>
    <row r="17" spans="1:46" ht="105" x14ac:dyDescent="0.25">
      <c r="A17" s="5">
        <v>46058.60361111111</v>
      </c>
      <c r="B17" t="s">
        <v>237</v>
      </c>
      <c r="C17" t="s">
        <v>173</v>
      </c>
      <c r="D17" t="s">
        <v>174</v>
      </c>
      <c r="E17" t="s">
        <v>147</v>
      </c>
      <c r="H17" t="s">
        <v>175</v>
      </c>
      <c r="I17" t="s">
        <v>176</v>
      </c>
      <c r="J17" t="s">
        <v>5</v>
      </c>
      <c r="K17" t="s">
        <v>177</v>
      </c>
      <c r="L17" s="6" t="s">
        <v>238</v>
      </c>
      <c r="M17" t="s">
        <v>7</v>
      </c>
      <c r="N17" t="s">
        <v>239</v>
      </c>
      <c r="O17" t="s">
        <v>240</v>
      </c>
      <c r="P17" t="s">
        <v>241</v>
      </c>
      <c r="R17" t="s">
        <v>175</v>
      </c>
      <c r="S17" t="s">
        <v>176</v>
      </c>
      <c r="T17" t="s">
        <v>5</v>
      </c>
      <c r="U17" t="s">
        <v>177</v>
      </c>
      <c r="V17">
        <v>1</v>
      </c>
      <c r="W17" t="s">
        <v>182</v>
      </c>
      <c r="X17" t="s">
        <v>183</v>
      </c>
      <c r="Z17" t="s">
        <v>184</v>
      </c>
      <c r="AF17">
        <v>45978.791666666701</v>
      </c>
      <c r="AI17" t="s">
        <v>185</v>
      </c>
      <c r="AJ17" t="s">
        <v>186</v>
      </c>
      <c r="AK17" t="s">
        <v>187</v>
      </c>
      <c r="AL17" t="s">
        <v>187</v>
      </c>
      <c r="AM17" t="s">
        <v>188</v>
      </c>
      <c r="AN17" t="s">
        <v>189</v>
      </c>
      <c r="AO17" t="s">
        <v>6</v>
      </c>
      <c r="AP17" t="s">
        <v>9</v>
      </c>
      <c r="AQ17" t="s">
        <v>53</v>
      </c>
      <c r="AR17" t="s">
        <v>190</v>
      </c>
      <c r="AS17" t="s">
        <v>174</v>
      </c>
      <c r="AT17" t="s">
        <v>191</v>
      </c>
    </row>
    <row r="18" spans="1:46" ht="105" x14ac:dyDescent="0.25">
      <c r="A18" s="5">
        <v>46058.607916666668</v>
      </c>
      <c r="B18" t="s">
        <v>242</v>
      </c>
      <c r="C18" t="s">
        <v>173</v>
      </c>
      <c r="D18" t="s">
        <v>174</v>
      </c>
      <c r="E18" t="s">
        <v>147</v>
      </c>
      <c r="H18" t="s">
        <v>175</v>
      </c>
      <c r="I18" t="s">
        <v>176</v>
      </c>
      <c r="J18" t="s">
        <v>5</v>
      </c>
      <c r="K18" t="s">
        <v>177</v>
      </c>
      <c r="L18" s="6" t="s">
        <v>243</v>
      </c>
      <c r="M18" t="s">
        <v>7</v>
      </c>
      <c r="N18" t="s">
        <v>244</v>
      </c>
      <c r="O18" t="s">
        <v>245</v>
      </c>
      <c r="P18" t="s">
        <v>246</v>
      </c>
      <c r="R18" t="s">
        <v>175</v>
      </c>
      <c r="S18" t="s">
        <v>176</v>
      </c>
      <c r="T18" t="s">
        <v>5</v>
      </c>
      <c r="U18" t="s">
        <v>177</v>
      </c>
      <c r="V18">
        <v>1</v>
      </c>
      <c r="W18" t="s">
        <v>182</v>
      </c>
      <c r="X18" t="s">
        <v>183</v>
      </c>
      <c r="Z18" t="s">
        <v>184</v>
      </c>
      <c r="AF18">
        <v>45978.791666666701</v>
      </c>
      <c r="AI18" t="s">
        <v>185</v>
      </c>
      <c r="AJ18" t="s">
        <v>186</v>
      </c>
      <c r="AK18" t="s">
        <v>187</v>
      </c>
      <c r="AL18" t="s">
        <v>187</v>
      </c>
      <c r="AM18" t="s">
        <v>188</v>
      </c>
      <c r="AN18" t="s">
        <v>189</v>
      </c>
      <c r="AO18" t="s">
        <v>6</v>
      </c>
      <c r="AP18" t="s">
        <v>9</v>
      </c>
      <c r="AQ18" t="s">
        <v>53</v>
      </c>
      <c r="AR18" t="s">
        <v>190</v>
      </c>
      <c r="AS18" t="s">
        <v>174</v>
      </c>
      <c r="AT18" t="s">
        <v>191</v>
      </c>
    </row>
    <row r="19" spans="1:46" ht="105" x14ac:dyDescent="0.25">
      <c r="A19" s="5">
        <v>46058.61209490741</v>
      </c>
      <c r="B19" t="s">
        <v>247</v>
      </c>
      <c r="C19" t="s">
        <v>173</v>
      </c>
      <c r="D19" t="s">
        <v>174</v>
      </c>
      <c r="E19" t="s">
        <v>147</v>
      </c>
      <c r="H19" t="s">
        <v>175</v>
      </c>
      <c r="I19" t="s">
        <v>176</v>
      </c>
      <c r="J19" t="s">
        <v>5</v>
      </c>
      <c r="K19" t="s">
        <v>177</v>
      </c>
      <c r="L19" s="6" t="s">
        <v>248</v>
      </c>
      <c r="M19" t="s">
        <v>7</v>
      </c>
      <c r="N19" t="s">
        <v>249</v>
      </c>
      <c r="O19" t="s">
        <v>250</v>
      </c>
      <c r="P19" t="s">
        <v>251</v>
      </c>
      <c r="R19" t="s">
        <v>175</v>
      </c>
      <c r="S19" t="s">
        <v>176</v>
      </c>
      <c r="T19" t="s">
        <v>5</v>
      </c>
      <c r="U19" t="s">
        <v>177</v>
      </c>
      <c r="V19">
        <v>1</v>
      </c>
      <c r="W19" t="s">
        <v>182</v>
      </c>
      <c r="X19" t="s">
        <v>183</v>
      </c>
      <c r="Z19" t="s">
        <v>184</v>
      </c>
      <c r="AF19">
        <v>45979.791666666701</v>
      </c>
      <c r="AI19" t="s">
        <v>185</v>
      </c>
      <c r="AJ19" t="s">
        <v>186</v>
      </c>
      <c r="AK19" t="s">
        <v>187</v>
      </c>
      <c r="AL19" t="s">
        <v>187</v>
      </c>
      <c r="AM19" t="s">
        <v>188</v>
      </c>
      <c r="AN19" t="s">
        <v>189</v>
      </c>
      <c r="AO19" t="s">
        <v>6</v>
      </c>
      <c r="AP19" t="s">
        <v>9</v>
      </c>
      <c r="AQ19" t="s">
        <v>53</v>
      </c>
      <c r="AR19" t="s">
        <v>190</v>
      </c>
      <c r="AS19" t="s">
        <v>174</v>
      </c>
      <c r="AT19" t="s">
        <v>191</v>
      </c>
    </row>
    <row r="20" spans="1:46" ht="105" x14ac:dyDescent="0.25">
      <c r="A20" s="5">
        <v>46058.616990740738</v>
      </c>
      <c r="B20" t="s">
        <v>252</v>
      </c>
      <c r="C20" t="s">
        <v>173</v>
      </c>
      <c r="D20" t="s">
        <v>174</v>
      </c>
      <c r="E20" t="s">
        <v>147</v>
      </c>
      <c r="H20" t="s">
        <v>175</v>
      </c>
      <c r="I20" t="s">
        <v>176</v>
      </c>
      <c r="J20" t="s">
        <v>5</v>
      </c>
      <c r="K20" t="s">
        <v>177</v>
      </c>
      <c r="L20" s="6" t="s">
        <v>253</v>
      </c>
      <c r="M20" t="s">
        <v>7</v>
      </c>
      <c r="N20" t="s">
        <v>254</v>
      </c>
      <c r="O20" t="s">
        <v>255</v>
      </c>
      <c r="P20" t="s">
        <v>256</v>
      </c>
      <c r="R20" t="s">
        <v>175</v>
      </c>
      <c r="S20" t="s">
        <v>176</v>
      </c>
      <c r="T20" t="s">
        <v>5</v>
      </c>
      <c r="U20" t="s">
        <v>177</v>
      </c>
      <c r="V20">
        <v>1</v>
      </c>
      <c r="W20" t="s">
        <v>182</v>
      </c>
      <c r="X20" t="s">
        <v>183</v>
      </c>
      <c r="Z20" t="s">
        <v>184</v>
      </c>
      <c r="AF20">
        <v>45979.791666666701</v>
      </c>
      <c r="AI20" t="s">
        <v>185</v>
      </c>
      <c r="AJ20" t="s">
        <v>186</v>
      </c>
      <c r="AK20" t="s">
        <v>187</v>
      </c>
      <c r="AL20" t="s">
        <v>187</v>
      </c>
      <c r="AM20" t="s">
        <v>188</v>
      </c>
      <c r="AN20" t="s">
        <v>189</v>
      </c>
      <c r="AO20" t="s">
        <v>6</v>
      </c>
      <c r="AP20" t="s">
        <v>9</v>
      </c>
      <c r="AQ20" t="s">
        <v>53</v>
      </c>
      <c r="AR20" t="s">
        <v>190</v>
      </c>
      <c r="AS20" t="s">
        <v>174</v>
      </c>
      <c r="AT20" t="s">
        <v>191</v>
      </c>
    </row>
    <row r="21" spans="1:46" ht="105" x14ac:dyDescent="0.25">
      <c r="A21" s="5">
        <v>46058.621840277781</v>
      </c>
      <c r="B21" t="s">
        <v>257</v>
      </c>
      <c r="C21" t="s">
        <v>173</v>
      </c>
      <c r="D21" t="s">
        <v>174</v>
      </c>
      <c r="E21" t="s">
        <v>147</v>
      </c>
      <c r="H21" t="s">
        <v>175</v>
      </c>
      <c r="I21" t="s">
        <v>176</v>
      </c>
      <c r="J21" t="s">
        <v>5</v>
      </c>
      <c r="K21" t="s">
        <v>177</v>
      </c>
      <c r="L21" s="6" t="s">
        <v>258</v>
      </c>
      <c r="M21" t="s">
        <v>7</v>
      </c>
      <c r="N21" t="s">
        <v>259</v>
      </c>
      <c r="O21" t="s">
        <v>260</v>
      </c>
      <c r="P21" t="s">
        <v>261</v>
      </c>
      <c r="R21" t="s">
        <v>175</v>
      </c>
      <c r="S21" t="s">
        <v>176</v>
      </c>
      <c r="T21" t="s">
        <v>5</v>
      </c>
      <c r="U21" t="s">
        <v>177</v>
      </c>
      <c r="V21">
        <v>1</v>
      </c>
      <c r="W21" t="s">
        <v>182</v>
      </c>
      <c r="X21" t="s">
        <v>183</v>
      </c>
      <c r="Z21" t="s">
        <v>184</v>
      </c>
      <c r="AF21">
        <v>45979.791666666701</v>
      </c>
      <c r="AI21" t="s">
        <v>185</v>
      </c>
      <c r="AJ21" t="s">
        <v>186</v>
      </c>
      <c r="AK21" t="s">
        <v>187</v>
      </c>
      <c r="AL21" t="s">
        <v>187</v>
      </c>
      <c r="AM21" t="s">
        <v>188</v>
      </c>
      <c r="AN21" t="s">
        <v>189</v>
      </c>
      <c r="AO21" t="s">
        <v>6</v>
      </c>
      <c r="AP21" t="s">
        <v>9</v>
      </c>
      <c r="AQ21" t="s">
        <v>53</v>
      </c>
      <c r="AR21" t="s">
        <v>190</v>
      </c>
      <c r="AS21" t="s">
        <v>174</v>
      </c>
      <c r="AT21" t="s">
        <v>191</v>
      </c>
    </row>
    <row r="22" spans="1:46" ht="105" x14ac:dyDescent="0.25">
      <c r="A22" s="5">
        <v>46058.625706018516</v>
      </c>
      <c r="B22" t="s">
        <v>262</v>
      </c>
      <c r="C22" t="s">
        <v>173</v>
      </c>
      <c r="D22" t="s">
        <v>174</v>
      </c>
      <c r="E22" t="s">
        <v>147</v>
      </c>
      <c r="H22" t="s">
        <v>175</v>
      </c>
      <c r="I22" t="s">
        <v>176</v>
      </c>
      <c r="J22" t="s">
        <v>5</v>
      </c>
      <c r="K22" t="s">
        <v>177</v>
      </c>
      <c r="L22" s="6" t="s">
        <v>263</v>
      </c>
      <c r="M22" t="s">
        <v>7</v>
      </c>
      <c r="N22" t="s">
        <v>264</v>
      </c>
      <c r="O22" t="s">
        <v>265</v>
      </c>
      <c r="P22" t="s">
        <v>266</v>
      </c>
      <c r="R22" t="s">
        <v>175</v>
      </c>
      <c r="S22" t="s">
        <v>176</v>
      </c>
      <c r="T22" t="s">
        <v>5</v>
      </c>
      <c r="U22" t="s">
        <v>177</v>
      </c>
      <c r="V22">
        <v>1</v>
      </c>
      <c r="W22" t="s">
        <v>182</v>
      </c>
      <c r="X22" t="s">
        <v>183</v>
      </c>
      <c r="Z22" t="s">
        <v>184</v>
      </c>
      <c r="AF22">
        <v>45980.791666666701</v>
      </c>
      <c r="AI22" t="s">
        <v>185</v>
      </c>
      <c r="AJ22" t="s">
        <v>186</v>
      </c>
      <c r="AK22" t="s">
        <v>187</v>
      </c>
      <c r="AL22" t="s">
        <v>187</v>
      </c>
      <c r="AM22" t="s">
        <v>188</v>
      </c>
      <c r="AN22" t="s">
        <v>189</v>
      </c>
      <c r="AO22" t="s">
        <v>6</v>
      </c>
      <c r="AP22" t="s">
        <v>9</v>
      </c>
      <c r="AQ22" t="s">
        <v>53</v>
      </c>
      <c r="AR22" t="s">
        <v>190</v>
      </c>
      <c r="AS22" t="s">
        <v>174</v>
      </c>
      <c r="AT22" t="s">
        <v>191</v>
      </c>
    </row>
    <row r="23" spans="1:46" ht="105" x14ac:dyDescent="0.25">
      <c r="A23" s="5">
        <v>46058.631365740737</v>
      </c>
      <c r="B23" t="s">
        <v>267</v>
      </c>
      <c r="C23" t="s">
        <v>173</v>
      </c>
      <c r="D23" t="s">
        <v>174</v>
      </c>
      <c r="E23" t="s">
        <v>147</v>
      </c>
      <c r="H23" t="s">
        <v>175</v>
      </c>
      <c r="I23" t="s">
        <v>176</v>
      </c>
      <c r="J23" t="s">
        <v>5</v>
      </c>
      <c r="K23" t="s">
        <v>177</v>
      </c>
      <c r="L23" s="6" t="s">
        <v>268</v>
      </c>
      <c r="M23" t="s">
        <v>7</v>
      </c>
      <c r="N23" t="s">
        <v>269</v>
      </c>
      <c r="O23" t="s">
        <v>270</v>
      </c>
      <c r="P23" t="s">
        <v>271</v>
      </c>
      <c r="R23" t="s">
        <v>175</v>
      </c>
      <c r="S23" t="s">
        <v>176</v>
      </c>
      <c r="T23" t="s">
        <v>5</v>
      </c>
      <c r="U23" t="s">
        <v>177</v>
      </c>
      <c r="V23">
        <v>1</v>
      </c>
      <c r="W23" t="s">
        <v>182</v>
      </c>
      <c r="X23" t="s">
        <v>183</v>
      </c>
      <c r="Z23" t="s">
        <v>184</v>
      </c>
      <c r="AF23">
        <v>45984.791666666701</v>
      </c>
      <c r="AI23" t="s">
        <v>185</v>
      </c>
      <c r="AJ23" t="s">
        <v>186</v>
      </c>
      <c r="AK23" t="s">
        <v>187</v>
      </c>
      <c r="AL23" t="s">
        <v>187</v>
      </c>
      <c r="AM23" t="s">
        <v>188</v>
      </c>
      <c r="AN23" t="s">
        <v>189</v>
      </c>
      <c r="AO23" t="s">
        <v>6</v>
      </c>
      <c r="AP23" t="s">
        <v>9</v>
      </c>
      <c r="AQ23" t="s">
        <v>53</v>
      </c>
      <c r="AR23" t="s">
        <v>190</v>
      </c>
      <c r="AS23" t="s">
        <v>174</v>
      </c>
      <c r="AT23" t="s">
        <v>191</v>
      </c>
    </row>
    <row r="24" spans="1:46" ht="75" x14ac:dyDescent="0.25">
      <c r="A24" s="5">
        <v>46072.740879629629</v>
      </c>
      <c r="B24" t="s">
        <v>272</v>
      </c>
      <c r="C24" t="s">
        <v>173</v>
      </c>
      <c r="D24" t="s">
        <v>198</v>
      </c>
      <c r="E24" t="s">
        <v>199</v>
      </c>
      <c r="H24" t="s">
        <v>175</v>
      </c>
      <c r="I24" t="s">
        <v>176</v>
      </c>
      <c r="J24" t="s">
        <v>5</v>
      </c>
      <c r="K24" t="s">
        <v>200</v>
      </c>
      <c r="L24" s="6" t="s">
        <v>273</v>
      </c>
      <c r="M24" t="s">
        <v>34</v>
      </c>
      <c r="N24" t="s">
        <v>274</v>
      </c>
      <c r="O24" t="s">
        <v>275</v>
      </c>
      <c r="P24" t="s">
        <v>276</v>
      </c>
      <c r="R24" t="s">
        <v>175</v>
      </c>
      <c r="S24" t="s">
        <v>176</v>
      </c>
      <c r="T24" t="s">
        <v>5</v>
      </c>
      <c r="U24" t="s">
        <v>200</v>
      </c>
      <c r="V24">
        <v>1</v>
      </c>
      <c r="W24" t="s">
        <v>205</v>
      </c>
      <c r="X24" t="s">
        <v>277</v>
      </c>
      <c r="Z24" t="s">
        <v>138</v>
      </c>
      <c r="AF24">
        <v>45939.833333333299</v>
      </c>
      <c r="AI24" t="s">
        <v>185</v>
      </c>
      <c r="AJ24" t="s">
        <v>186</v>
      </c>
      <c r="AK24" t="s">
        <v>278</v>
      </c>
      <c r="AL24" t="s">
        <v>278</v>
      </c>
      <c r="AM24" t="s">
        <v>188</v>
      </c>
      <c r="AN24" t="s">
        <v>189</v>
      </c>
      <c r="AO24" t="s">
        <v>15</v>
      </c>
      <c r="AP24" t="s">
        <v>19</v>
      </c>
      <c r="AQ24" t="s">
        <v>53</v>
      </c>
      <c r="AR24" t="s">
        <v>190</v>
      </c>
      <c r="AS24" t="s">
        <v>198</v>
      </c>
      <c r="AT24" t="s">
        <v>138</v>
      </c>
    </row>
    <row r="25" spans="1:46" ht="75" x14ac:dyDescent="0.25">
      <c r="A25" s="5">
        <v>46072.727719907409</v>
      </c>
      <c r="B25" t="s">
        <v>279</v>
      </c>
      <c r="C25" t="s">
        <v>173</v>
      </c>
      <c r="D25" t="s">
        <v>198</v>
      </c>
      <c r="E25" t="s">
        <v>199</v>
      </c>
      <c r="H25" t="s">
        <v>175</v>
      </c>
      <c r="I25" t="s">
        <v>176</v>
      </c>
      <c r="J25" t="s">
        <v>5</v>
      </c>
      <c r="K25" t="s">
        <v>200</v>
      </c>
      <c r="L25" s="6" t="s">
        <v>280</v>
      </c>
      <c r="M25" t="s">
        <v>34</v>
      </c>
      <c r="N25" t="s">
        <v>281</v>
      </c>
      <c r="O25" t="s">
        <v>282</v>
      </c>
      <c r="P25" t="s">
        <v>283</v>
      </c>
      <c r="R25" t="s">
        <v>175</v>
      </c>
      <c r="S25" t="s">
        <v>176</v>
      </c>
      <c r="T25" t="s">
        <v>5</v>
      </c>
      <c r="U25" t="s">
        <v>200</v>
      </c>
      <c r="V25">
        <v>1</v>
      </c>
      <c r="W25" t="s">
        <v>205</v>
      </c>
      <c r="X25" t="s">
        <v>206</v>
      </c>
      <c r="Z25" t="s">
        <v>138</v>
      </c>
      <c r="AF25">
        <v>45973.791666666701</v>
      </c>
      <c r="AI25" t="s">
        <v>185</v>
      </c>
      <c r="AJ25" t="s">
        <v>186</v>
      </c>
      <c r="AK25" t="s">
        <v>278</v>
      </c>
      <c r="AL25" t="s">
        <v>278</v>
      </c>
      <c r="AM25" t="s">
        <v>208</v>
      </c>
      <c r="AN25" t="s">
        <v>189</v>
      </c>
      <c r="AO25" t="s">
        <v>15</v>
      </c>
      <c r="AP25" t="s">
        <v>23</v>
      </c>
      <c r="AQ25" t="s">
        <v>53</v>
      </c>
      <c r="AR25" t="s">
        <v>190</v>
      </c>
      <c r="AS25" t="s">
        <v>198</v>
      </c>
      <c r="AT25" t="s">
        <v>138</v>
      </c>
    </row>
    <row r="26" spans="1:46" ht="105" x14ac:dyDescent="0.25">
      <c r="A26" s="5">
        <v>46058.635439814818</v>
      </c>
      <c r="B26" t="s">
        <v>284</v>
      </c>
      <c r="C26" t="s">
        <v>173</v>
      </c>
      <c r="D26" t="s">
        <v>174</v>
      </c>
      <c r="E26" t="s">
        <v>147</v>
      </c>
      <c r="H26" t="s">
        <v>175</v>
      </c>
      <c r="I26" t="s">
        <v>176</v>
      </c>
      <c r="J26" t="s">
        <v>5</v>
      </c>
      <c r="K26" t="s">
        <v>177</v>
      </c>
      <c r="L26" s="6" t="s">
        <v>285</v>
      </c>
      <c r="M26" t="s">
        <v>7</v>
      </c>
      <c r="N26" t="s">
        <v>286</v>
      </c>
      <c r="O26" t="s">
        <v>287</v>
      </c>
      <c r="P26" t="s">
        <v>288</v>
      </c>
      <c r="R26" t="s">
        <v>175</v>
      </c>
      <c r="S26" t="s">
        <v>176</v>
      </c>
      <c r="T26" t="s">
        <v>5</v>
      </c>
      <c r="U26" t="s">
        <v>177</v>
      </c>
      <c r="V26">
        <v>1</v>
      </c>
      <c r="W26" t="s">
        <v>182</v>
      </c>
      <c r="X26" t="s">
        <v>183</v>
      </c>
      <c r="Z26" t="s">
        <v>184</v>
      </c>
      <c r="AF26">
        <v>45978.791666666701</v>
      </c>
      <c r="AI26" t="s">
        <v>185</v>
      </c>
      <c r="AJ26" t="s">
        <v>186</v>
      </c>
      <c r="AK26" t="s">
        <v>187</v>
      </c>
      <c r="AL26" t="s">
        <v>187</v>
      </c>
      <c r="AM26" t="s">
        <v>188</v>
      </c>
      <c r="AN26" t="s">
        <v>189</v>
      </c>
      <c r="AO26" t="s">
        <v>6</v>
      </c>
      <c r="AP26" t="s">
        <v>9</v>
      </c>
      <c r="AQ26" t="s">
        <v>53</v>
      </c>
      <c r="AR26" t="s">
        <v>190</v>
      </c>
      <c r="AS26" t="s">
        <v>174</v>
      </c>
      <c r="AT26" t="s">
        <v>191</v>
      </c>
    </row>
    <row r="27" spans="1:46" ht="105" x14ac:dyDescent="0.25">
      <c r="A27" s="5">
        <v>46058.640231481484</v>
      </c>
      <c r="B27" t="s">
        <v>289</v>
      </c>
      <c r="C27" t="s">
        <v>173</v>
      </c>
      <c r="D27" t="s">
        <v>174</v>
      </c>
      <c r="E27" t="s">
        <v>147</v>
      </c>
      <c r="H27" t="s">
        <v>175</v>
      </c>
      <c r="I27" t="s">
        <v>176</v>
      </c>
      <c r="J27" t="s">
        <v>5</v>
      </c>
      <c r="K27" t="s">
        <v>177</v>
      </c>
      <c r="L27" s="6" t="s">
        <v>290</v>
      </c>
      <c r="M27" t="s">
        <v>7</v>
      </c>
      <c r="N27" t="s">
        <v>291</v>
      </c>
      <c r="O27" t="s">
        <v>292</v>
      </c>
      <c r="P27" t="s">
        <v>293</v>
      </c>
      <c r="R27" t="s">
        <v>175</v>
      </c>
      <c r="S27" t="s">
        <v>176</v>
      </c>
      <c r="T27" t="s">
        <v>5</v>
      </c>
      <c r="U27" t="s">
        <v>177</v>
      </c>
      <c r="V27">
        <v>1</v>
      </c>
      <c r="W27" t="s">
        <v>182</v>
      </c>
      <c r="X27" t="s">
        <v>183</v>
      </c>
      <c r="Z27" t="s">
        <v>184</v>
      </c>
      <c r="AF27">
        <v>45979.791666666701</v>
      </c>
      <c r="AI27" t="s">
        <v>185</v>
      </c>
      <c r="AJ27" t="s">
        <v>186</v>
      </c>
      <c r="AK27" t="s">
        <v>187</v>
      </c>
      <c r="AL27" t="s">
        <v>187</v>
      </c>
      <c r="AM27" t="s">
        <v>188</v>
      </c>
      <c r="AN27" t="s">
        <v>189</v>
      </c>
      <c r="AO27" t="s">
        <v>6</v>
      </c>
      <c r="AP27" t="s">
        <v>9</v>
      </c>
      <c r="AQ27" t="s">
        <v>53</v>
      </c>
      <c r="AR27" t="s">
        <v>190</v>
      </c>
      <c r="AS27" t="s">
        <v>174</v>
      </c>
      <c r="AT27" t="s">
        <v>191</v>
      </c>
    </row>
    <row r="28" spans="1:46" ht="105" x14ac:dyDescent="0.25">
      <c r="A28" s="5">
        <v>46073.460104166668</v>
      </c>
      <c r="B28" t="s">
        <v>294</v>
      </c>
      <c r="C28" t="s">
        <v>173</v>
      </c>
      <c r="D28" t="s">
        <v>174</v>
      </c>
      <c r="E28" t="s">
        <v>147</v>
      </c>
      <c r="H28" t="s">
        <v>175</v>
      </c>
      <c r="I28" t="s">
        <v>176</v>
      </c>
      <c r="J28" t="s">
        <v>5</v>
      </c>
      <c r="K28" t="s">
        <v>177</v>
      </c>
      <c r="L28" s="6" t="s">
        <v>295</v>
      </c>
      <c r="M28" t="s">
        <v>7</v>
      </c>
      <c r="N28" t="s">
        <v>296</v>
      </c>
      <c r="O28" t="s">
        <v>297</v>
      </c>
      <c r="P28" t="s">
        <v>298</v>
      </c>
      <c r="R28" t="s">
        <v>175</v>
      </c>
      <c r="S28" t="s">
        <v>176</v>
      </c>
      <c r="T28" t="s">
        <v>5</v>
      </c>
      <c r="U28" t="s">
        <v>177</v>
      </c>
      <c r="V28">
        <v>1</v>
      </c>
      <c r="W28" t="s">
        <v>182</v>
      </c>
      <c r="X28" t="s">
        <v>183</v>
      </c>
      <c r="Z28" t="s">
        <v>184</v>
      </c>
      <c r="AF28">
        <v>46011.791666666701</v>
      </c>
      <c r="AI28" t="s">
        <v>185</v>
      </c>
      <c r="AJ28" t="s">
        <v>186</v>
      </c>
      <c r="AK28" t="s">
        <v>187</v>
      </c>
      <c r="AL28" t="s">
        <v>187</v>
      </c>
      <c r="AM28" t="s">
        <v>188</v>
      </c>
      <c r="AN28" t="s">
        <v>189</v>
      </c>
      <c r="AO28" t="s">
        <v>6</v>
      </c>
      <c r="AP28" t="s">
        <v>9</v>
      </c>
      <c r="AQ28" t="s">
        <v>53</v>
      </c>
      <c r="AR28" t="s">
        <v>190</v>
      </c>
      <c r="AS28" t="s">
        <v>174</v>
      </c>
      <c r="AT28" t="s">
        <v>191</v>
      </c>
    </row>
    <row r="29" spans="1:46" ht="105" x14ac:dyDescent="0.25">
      <c r="A29" s="5">
        <v>46073.454224537039</v>
      </c>
      <c r="B29" t="s">
        <v>299</v>
      </c>
      <c r="C29" t="s">
        <v>173</v>
      </c>
      <c r="D29" t="s">
        <v>174</v>
      </c>
      <c r="E29" t="s">
        <v>147</v>
      </c>
      <c r="H29" t="s">
        <v>175</v>
      </c>
      <c r="I29" t="s">
        <v>176</v>
      </c>
      <c r="J29" t="s">
        <v>5</v>
      </c>
      <c r="K29" t="s">
        <v>177</v>
      </c>
      <c r="L29" s="6" t="s">
        <v>300</v>
      </c>
      <c r="M29" t="s">
        <v>7</v>
      </c>
      <c r="N29" t="s">
        <v>301</v>
      </c>
      <c r="O29" t="s">
        <v>302</v>
      </c>
      <c r="P29" t="s">
        <v>303</v>
      </c>
      <c r="R29" t="s">
        <v>175</v>
      </c>
      <c r="S29" t="s">
        <v>176</v>
      </c>
      <c r="T29" t="s">
        <v>5</v>
      </c>
      <c r="U29" t="s">
        <v>177</v>
      </c>
      <c r="V29">
        <v>1</v>
      </c>
      <c r="W29" t="s">
        <v>182</v>
      </c>
      <c r="X29" t="s">
        <v>183</v>
      </c>
      <c r="Z29" t="s">
        <v>184</v>
      </c>
      <c r="AF29">
        <v>45992.791666666701</v>
      </c>
      <c r="AI29" t="s">
        <v>185</v>
      </c>
      <c r="AJ29" t="s">
        <v>186</v>
      </c>
      <c r="AK29" t="s">
        <v>187</v>
      </c>
      <c r="AL29" t="s">
        <v>187</v>
      </c>
      <c r="AM29" t="s">
        <v>188</v>
      </c>
      <c r="AN29" t="s">
        <v>189</v>
      </c>
      <c r="AO29" t="s">
        <v>6</v>
      </c>
      <c r="AP29" t="s">
        <v>9</v>
      </c>
      <c r="AQ29" t="s">
        <v>53</v>
      </c>
      <c r="AR29" t="s">
        <v>190</v>
      </c>
      <c r="AS29" t="s">
        <v>174</v>
      </c>
      <c r="AT29" t="s">
        <v>191</v>
      </c>
    </row>
    <row r="30" spans="1:46" ht="105" x14ac:dyDescent="0.25">
      <c r="A30" s="5">
        <v>46073.449282407404</v>
      </c>
      <c r="B30" t="s">
        <v>304</v>
      </c>
      <c r="C30" t="s">
        <v>173</v>
      </c>
      <c r="D30" t="s">
        <v>174</v>
      </c>
      <c r="E30" t="s">
        <v>147</v>
      </c>
      <c r="H30" t="s">
        <v>175</v>
      </c>
      <c r="I30" t="s">
        <v>176</v>
      </c>
      <c r="J30" t="s">
        <v>5</v>
      </c>
      <c r="K30" t="s">
        <v>177</v>
      </c>
      <c r="L30" s="6" t="s">
        <v>305</v>
      </c>
      <c r="M30" t="s">
        <v>7</v>
      </c>
      <c r="N30" t="s">
        <v>306</v>
      </c>
      <c r="O30" t="s">
        <v>307</v>
      </c>
      <c r="P30" t="s">
        <v>308</v>
      </c>
      <c r="R30" t="s">
        <v>175</v>
      </c>
      <c r="S30" t="s">
        <v>176</v>
      </c>
      <c r="T30" t="s">
        <v>5</v>
      </c>
      <c r="U30" t="s">
        <v>177</v>
      </c>
      <c r="V30">
        <v>1</v>
      </c>
      <c r="W30" t="s">
        <v>182</v>
      </c>
      <c r="X30" t="s">
        <v>183</v>
      </c>
      <c r="Z30" t="s">
        <v>184</v>
      </c>
      <c r="AF30">
        <v>45991.791666666701</v>
      </c>
      <c r="AI30" t="s">
        <v>185</v>
      </c>
      <c r="AJ30" t="s">
        <v>186</v>
      </c>
      <c r="AK30" t="s">
        <v>187</v>
      </c>
      <c r="AL30" t="s">
        <v>187</v>
      </c>
      <c r="AM30" t="s">
        <v>188</v>
      </c>
      <c r="AN30" t="s">
        <v>189</v>
      </c>
      <c r="AO30" t="s">
        <v>6</v>
      </c>
      <c r="AP30" t="s">
        <v>9</v>
      </c>
      <c r="AQ30" t="s">
        <v>53</v>
      </c>
      <c r="AR30" t="s">
        <v>190</v>
      </c>
      <c r="AS30" t="s">
        <v>174</v>
      </c>
      <c r="AT30" t="s">
        <v>191</v>
      </c>
    </row>
    <row r="31" spans="1:46" ht="105" x14ac:dyDescent="0.25">
      <c r="A31" s="5">
        <v>46073.444803240738</v>
      </c>
      <c r="B31" t="s">
        <v>309</v>
      </c>
      <c r="C31" t="s">
        <v>173</v>
      </c>
      <c r="D31" t="s">
        <v>174</v>
      </c>
      <c r="E31" t="s">
        <v>147</v>
      </c>
      <c r="H31" t="s">
        <v>175</v>
      </c>
      <c r="I31" t="s">
        <v>176</v>
      </c>
      <c r="J31" t="s">
        <v>5</v>
      </c>
      <c r="K31" t="s">
        <v>177</v>
      </c>
      <c r="L31" s="6" t="s">
        <v>310</v>
      </c>
      <c r="M31" t="s">
        <v>7</v>
      </c>
      <c r="N31" t="s">
        <v>311</v>
      </c>
      <c r="O31" t="s">
        <v>312</v>
      </c>
      <c r="P31" t="s">
        <v>313</v>
      </c>
      <c r="R31" t="s">
        <v>175</v>
      </c>
      <c r="S31" t="s">
        <v>176</v>
      </c>
      <c r="T31" t="s">
        <v>5</v>
      </c>
      <c r="U31" t="s">
        <v>177</v>
      </c>
      <c r="V31">
        <v>1</v>
      </c>
      <c r="W31" t="s">
        <v>182</v>
      </c>
      <c r="X31" t="s">
        <v>183</v>
      </c>
      <c r="Z31" t="s">
        <v>184</v>
      </c>
      <c r="AF31">
        <v>45993.791666666701</v>
      </c>
      <c r="AI31" t="s">
        <v>185</v>
      </c>
      <c r="AJ31" t="s">
        <v>186</v>
      </c>
      <c r="AK31" t="s">
        <v>187</v>
      </c>
      <c r="AL31" t="s">
        <v>187</v>
      </c>
      <c r="AM31" t="s">
        <v>188</v>
      </c>
      <c r="AN31" t="s">
        <v>189</v>
      </c>
      <c r="AO31" t="s">
        <v>6</v>
      </c>
      <c r="AP31" t="s">
        <v>9</v>
      </c>
      <c r="AQ31" t="s">
        <v>53</v>
      </c>
      <c r="AR31" t="s">
        <v>190</v>
      </c>
      <c r="AS31" t="s">
        <v>174</v>
      </c>
      <c r="AT31" t="s">
        <v>191</v>
      </c>
    </row>
    <row r="32" spans="1:46" ht="105" x14ac:dyDescent="0.25">
      <c r="A32" s="5">
        <v>46073.439942129633</v>
      </c>
      <c r="B32" t="s">
        <v>314</v>
      </c>
      <c r="C32" t="s">
        <v>173</v>
      </c>
      <c r="D32" t="s">
        <v>174</v>
      </c>
      <c r="E32" t="s">
        <v>147</v>
      </c>
      <c r="H32" t="s">
        <v>175</v>
      </c>
      <c r="I32" t="s">
        <v>176</v>
      </c>
      <c r="J32" t="s">
        <v>5</v>
      </c>
      <c r="K32" t="s">
        <v>177</v>
      </c>
      <c r="L32" s="6" t="s">
        <v>315</v>
      </c>
      <c r="M32" t="s">
        <v>7</v>
      </c>
      <c r="N32" t="s">
        <v>316</v>
      </c>
      <c r="O32" t="s">
        <v>317</v>
      </c>
      <c r="P32" t="s">
        <v>318</v>
      </c>
      <c r="R32" t="s">
        <v>175</v>
      </c>
      <c r="S32" t="s">
        <v>176</v>
      </c>
      <c r="T32" t="s">
        <v>5</v>
      </c>
      <c r="U32" t="s">
        <v>177</v>
      </c>
      <c r="V32">
        <v>1</v>
      </c>
      <c r="W32" t="s">
        <v>182</v>
      </c>
      <c r="X32" t="s">
        <v>183</v>
      </c>
      <c r="Z32" t="s">
        <v>184</v>
      </c>
      <c r="AF32">
        <v>45993.791666666701</v>
      </c>
      <c r="AI32" t="s">
        <v>185</v>
      </c>
      <c r="AJ32" t="s">
        <v>186</v>
      </c>
      <c r="AK32" t="s">
        <v>187</v>
      </c>
      <c r="AL32" t="s">
        <v>187</v>
      </c>
      <c r="AM32" t="s">
        <v>188</v>
      </c>
      <c r="AN32" t="s">
        <v>189</v>
      </c>
      <c r="AO32" t="s">
        <v>6</v>
      </c>
      <c r="AP32" t="s">
        <v>9</v>
      </c>
      <c r="AQ32" t="s">
        <v>53</v>
      </c>
      <c r="AR32" t="s">
        <v>190</v>
      </c>
      <c r="AS32" t="s">
        <v>174</v>
      </c>
      <c r="AT32" t="s">
        <v>191</v>
      </c>
    </row>
    <row r="33" spans="1:46" ht="105" x14ac:dyDescent="0.25">
      <c r="A33" s="5">
        <v>46073.43309027778</v>
      </c>
      <c r="B33" t="s">
        <v>319</v>
      </c>
      <c r="C33" t="s">
        <v>173</v>
      </c>
      <c r="D33" t="s">
        <v>174</v>
      </c>
      <c r="E33" t="s">
        <v>147</v>
      </c>
      <c r="H33" t="s">
        <v>175</v>
      </c>
      <c r="I33" t="s">
        <v>176</v>
      </c>
      <c r="J33" t="s">
        <v>5</v>
      </c>
      <c r="K33" t="s">
        <v>177</v>
      </c>
      <c r="L33" s="6" t="s">
        <v>320</v>
      </c>
      <c r="M33" t="s">
        <v>7</v>
      </c>
      <c r="N33" t="s">
        <v>321</v>
      </c>
      <c r="O33" t="s">
        <v>322</v>
      </c>
      <c r="P33" t="s">
        <v>323</v>
      </c>
      <c r="R33" t="s">
        <v>175</v>
      </c>
      <c r="S33" t="s">
        <v>176</v>
      </c>
      <c r="T33" t="s">
        <v>5</v>
      </c>
      <c r="U33" t="s">
        <v>177</v>
      </c>
      <c r="V33">
        <v>1</v>
      </c>
      <c r="W33" t="s">
        <v>182</v>
      </c>
      <c r="X33" t="s">
        <v>183</v>
      </c>
      <c r="Z33" t="s">
        <v>184</v>
      </c>
      <c r="AF33">
        <v>45993.791666666701</v>
      </c>
      <c r="AI33" t="s">
        <v>185</v>
      </c>
      <c r="AJ33" t="s">
        <v>186</v>
      </c>
      <c r="AK33" t="s">
        <v>187</v>
      </c>
      <c r="AL33" t="s">
        <v>187</v>
      </c>
      <c r="AM33" t="s">
        <v>188</v>
      </c>
      <c r="AN33" t="s">
        <v>189</v>
      </c>
      <c r="AO33" t="s">
        <v>6</v>
      </c>
      <c r="AP33" t="s">
        <v>9</v>
      </c>
      <c r="AQ33" t="s">
        <v>53</v>
      </c>
      <c r="AR33" t="s">
        <v>190</v>
      </c>
      <c r="AS33" t="s">
        <v>174</v>
      </c>
      <c r="AT33" t="s">
        <v>191</v>
      </c>
    </row>
    <row r="34" spans="1:46" ht="210" x14ac:dyDescent="0.25">
      <c r="A34" s="5">
        <v>46069.704027777778</v>
      </c>
      <c r="B34" t="s">
        <v>324</v>
      </c>
      <c r="C34" t="s">
        <v>173</v>
      </c>
      <c r="D34" t="s">
        <v>174</v>
      </c>
      <c r="E34" t="s">
        <v>325</v>
      </c>
      <c r="H34" t="s">
        <v>175</v>
      </c>
      <c r="I34" t="s">
        <v>176</v>
      </c>
      <c r="J34" t="s">
        <v>5</v>
      </c>
      <c r="K34" t="s">
        <v>200</v>
      </c>
      <c r="L34" s="6" t="s">
        <v>326</v>
      </c>
      <c r="M34" t="s">
        <v>36</v>
      </c>
      <c r="N34" t="s">
        <v>327</v>
      </c>
      <c r="O34" t="s">
        <v>328</v>
      </c>
      <c r="P34" t="s">
        <v>329</v>
      </c>
      <c r="Q34">
        <v>44</v>
      </c>
      <c r="R34" t="s">
        <v>175</v>
      </c>
      <c r="S34" t="s">
        <v>176</v>
      </c>
      <c r="T34" t="s">
        <v>5</v>
      </c>
      <c r="U34" t="s">
        <v>200</v>
      </c>
      <c r="V34">
        <v>5</v>
      </c>
      <c r="W34" t="s">
        <v>330</v>
      </c>
      <c r="X34" t="s">
        <v>331</v>
      </c>
      <c r="Z34" t="s">
        <v>191</v>
      </c>
      <c r="AB34" t="s">
        <v>332</v>
      </c>
      <c r="AF34">
        <v>46055.791666666701</v>
      </c>
      <c r="AI34" t="s">
        <v>220</v>
      </c>
      <c r="AJ34" t="s">
        <v>186</v>
      </c>
      <c r="AK34" t="s">
        <v>333</v>
      </c>
      <c r="AL34" t="s">
        <v>221</v>
      </c>
      <c r="AM34" t="s">
        <v>208</v>
      </c>
      <c r="AN34" t="s">
        <v>189</v>
      </c>
      <c r="AO34" t="s">
        <v>26</v>
      </c>
      <c r="AP34" t="s">
        <v>32</v>
      </c>
      <c r="AQ34" t="s">
        <v>53</v>
      </c>
      <c r="AR34" t="s">
        <v>190</v>
      </c>
      <c r="AS34" t="s">
        <v>174</v>
      </c>
      <c r="AT34" t="s">
        <v>191</v>
      </c>
    </row>
    <row r="35" spans="1:46" ht="210" x14ac:dyDescent="0.25">
      <c r="A35" s="5">
        <v>46069.704027777778</v>
      </c>
      <c r="B35" t="s">
        <v>324</v>
      </c>
      <c r="C35" t="s">
        <v>173</v>
      </c>
      <c r="D35" t="s">
        <v>174</v>
      </c>
      <c r="E35" t="s">
        <v>325</v>
      </c>
      <c r="H35" t="s">
        <v>175</v>
      </c>
      <c r="I35" t="s">
        <v>176</v>
      </c>
      <c r="J35" t="s">
        <v>5</v>
      </c>
      <c r="K35" t="s">
        <v>200</v>
      </c>
      <c r="L35" s="6" t="s">
        <v>326</v>
      </c>
      <c r="M35" t="s">
        <v>36</v>
      </c>
      <c r="N35" t="s">
        <v>327</v>
      </c>
      <c r="O35" t="s">
        <v>328</v>
      </c>
      <c r="P35" t="s">
        <v>329</v>
      </c>
      <c r="Q35">
        <v>30</v>
      </c>
      <c r="R35" t="s">
        <v>175</v>
      </c>
      <c r="S35" t="s">
        <v>176</v>
      </c>
      <c r="T35" t="s">
        <v>5</v>
      </c>
      <c r="U35" t="s">
        <v>200</v>
      </c>
      <c r="V35">
        <v>4</v>
      </c>
      <c r="W35" t="s">
        <v>330</v>
      </c>
      <c r="X35" t="s">
        <v>331</v>
      </c>
      <c r="Z35" t="s">
        <v>191</v>
      </c>
      <c r="AB35" t="s">
        <v>334</v>
      </c>
      <c r="AF35">
        <v>46055.791666666701</v>
      </c>
      <c r="AI35" t="s">
        <v>220</v>
      </c>
      <c r="AJ35" t="s">
        <v>186</v>
      </c>
      <c r="AK35" t="s">
        <v>333</v>
      </c>
      <c r="AL35" t="s">
        <v>221</v>
      </c>
      <c r="AM35" t="s">
        <v>208</v>
      </c>
      <c r="AN35" t="s">
        <v>189</v>
      </c>
      <c r="AO35" t="s">
        <v>26</v>
      </c>
      <c r="AP35" t="s">
        <v>32</v>
      </c>
      <c r="AQ35" t="s">
        <v>53</v>
      </c>
      <c r="AR35" t="s">
        <v>190</v>
      </c>
      <c r="AS35" t="s">
        <v>174</v>
      </c>
      <c r="AT35" t="s">
        <v>191</v>
      </c>
    </row>
    <row r="36" spans="1:46" ht="90" x14ac:dyDescent="0.25">
      <c r="A36" s="5">
        <v>46065.483784722222</v>
      </c>
      <c r="B36" t="s">
        <v>335</v>
      </c>
      <c r="C36" t="s">
        <v>173</v>
      </c>
      <c r="D36" t="s">
        <v>174</v>
      </c>
      <c r="E36" t="s">
        <v>325</v>
      </c>
      <c r="H36" t="s">
        <v>175</v>
      </c>
      <c r="I36" t="s">
        <v>176</v>
      </c>
      <c r="J36" t="s">
        <v>5</v>
      </c>
      <c r="K36" t="s">
        <v>200</v>
      </c>
      <c r="L36" s="6" t="s">
        <v>336</v>
      </c>
      <c r="M36" t="s">
        <v>121</v>
      </c>
      <c r="N36" t="s">
        <v>337</v>
      </c>
      <c r="O36" t="s">
        <v>338</v>
      </c>
      <c r="P36" t="s">
        <v>339</v>
      </c>
      <c r="Q36">
        <v>27</v>
      </c>
      <c r="R36" t="s">
        <v>175</v>
      </c>
      <c r="S36" t="s">
        <v>176</v>
      </c>
      <c r="T36" t="s">
        <v>8</v>
      </c>
      <c r="U36" t="s">
        <v>200</v>
      </c>
      <c r="V36">
        <v>281</v>
      </c>
      <c r="W36" t="s">
        <v>340</v>
      </c>
      <c r="X36" t="s">
        <v>341</v>
      </c>
      <c r="Z36" t="s">
        <v>342</v>
      </c>
      <c r="AC36" t="s">
        <v>343</v>
      </c>
      <c r="AF36">
        <v>46063.791666666701</v>
      </c>
      <c r="AI36" t="s">
        <v>344</v>
      </c>
      <c r="AJ36" t="s">
        <v>345</v>
      </c>
      <c r="AK36" t="s">
        <v>346</v>
      </c>
      <c r="AL36" t="s">
        <v>346</v>
      </c>
      <c r="AM36" t="s">
        <v>208</v>
      </c>
      <c r="AN36" t="s">
        <v>189</v>
      </c>
      <c r="AO36" t="s">
        <v>47</v>
      </c>
      <c r="AP36" t="s">
        <v>47</v>
      </c>
      <c r="AQ36" t="s">
        <v>53</v>
      </c>
      <c r="AR36" t="s">
        <v>190</v>
      </c>
      <c r="AS36" t="s">
        <v>174</v>
      </c>
      <c r="AT36" t="s">
        <v>347</v>
      </c>
    </row>
    <row r="37" spans="1:46" ht="105" x14ac:dyDescent="0.25">
      <c r="A37" s="5">
        <v>46058.64434027778</v>
      </c>
      <c r="B37" t="s">
        <v>348</v>
      </c>
      <c r="C37" t="s">
        <v>173</v>
      </c>
      <c r="D37" t="s">
        <v>174</v>
      </c>
      <c r="E37" t="s">
        <v>147</v>
      </c>
      <c r="H37" t="s">
        <v>175</v>
      </c>
      <c r="I37" t="s">
        <v>176</v>
      </c>
      <c r="J37" t="s">
        <v>5</v>
      </c>
      <c r="K37" t="s">
        <v>177</v>
      </c>
      <c r="L37" s="6" t="s">
        <v>349</v>
      </c>
      <c r="M37" t="s">
        <v>7</v>
      </c>
      <c r="N37" t="s">
        <v>350</v>
      </c>
      <c r="O37" t="s">
        <v>351</v>
      </c>
      <c r="P37" t="s">
        <v>352</v>
      </c>
      <c r="R37" t="s">
        <v>175</v>
      </c>
      <c r="S37" t="s">
        <v>176</v>
      </c>
      <c r="T37" t="s">
        <v>5</v>
      </c>
      <c r="U37" t="s">
        <v>177</v>
      </c>
      <c r="V37">
        <v>1</v>
      </c>
      <c r="W37" t="s">
        <v>182</v>
      </c>
      <c r="X37" t="s">
        <v>183</v>
      </c>
      <c r="Z37" t="s">
        <v>184</v>
      </c>
      <c r="AF37">
        <v>45984.791666666701</v>
      </c>
      <c r="AI37" t="s">
        <v>185</v>
      </c>
      <c r="AJ37" t="s">
        <v>186</v>
      </c>
      <c r="AK37" t="s">
        <v>187</v>
      </c>
      <c r="AL37" t="s">
        <v>187</v>
      </c>
      <c r="AM37" t="s">
        <v>188</v>
      </c>
      <c r="AN37" t="s">
        <v>189</v>
      </c>
      <c r="AO37" t="s">
        <v>6</v>
      </c>
      <c r="AP37" t="s">
        <v>9</v>
      </c>
      <c r="AQ37" t="s">
        <v>53</v>
      </c>
      <c r="AR37" t="s">
        <v>190</v>
      </c>
      <c r="AS37" t="s">
        <v>174</v>
      </c>
      <c r="AT37" t="s">
        <v>191</v>
      </c>
    </row>
    <row r="38" spans="1:46" ht="105" x14ac:dyDescent="0.25">
      <c r="A38" s="5">
        <v>46058.648148148146</v>
      </c>
      <c r="B38" t="s">
        <v>353</v>
      </c>
      <c r="C38" t="s">
        <v>173</v>
      </c>
      <c r="D38" t="s">
        <v>174</v>
      </c>
      <c r="E38" t="s">
        <v>147</v>
      </c>
      <c r="H38" t="s">
        <v>175</v>
      </c>
      <c r="I38" t="s">
        <v>176</v>
      </c>
      <c r="J38" t="s">
        <v>5</v>
      </c>
      <c r="K38" t="s">
        <v>177</v>
      </c>
      <c r="L38" s="6" t="s">
        <v>354</v>
      </c>
      <c r="M38" t="s">
        <v>7</v>
      </c>
      <c r="N38" t="s">
        <v>355</v>
      </c>
      <c r="O38" t="s">
        <v>356</v>
      </c>
      <c r="P38" t="s">
        <v>357</v>
      </c>
      <c r="R38" t="s">
        <v>175</v>
      </c>
      <c r="S38" t="s">
        <v>176</v>
      </c>
      <c r="T38" t="s">
        <v>5</v>
      </c>
      <c r="U38" t="s">
        <v>177</v>
      </c>
      <c r="V38">
        <v>1</v>
      </c>
      <c r="W38" t="s">
        <v>182</v>
      </c>
      <c r="X38" t="s">
        <v>183</v>
      </c>
      <c r="Z38" t="s">
        <v>184</v>
      </c>
      <c r="AF38">
        <v>45979.791666666701</v>
      </c>
      <c r="AI38" t="s">
        <v>185</v>
      </c>
      <c r="AJ38" t="s">
        <v>186</v>
      </c>
      <c r="AK38" t="s">
        <v>187</v>
      </c>
      <c r="AL38" t="s">
        <v>187</v>
      </c>
      <c r="AM38" t="s">
        <v>188</v>
      </c>
      <c r="AN38" t="s">
        <v>189</v>
      </c>
      <c r="AO38" t="s">
        <v>6</v>
      </c>
      <c r="AP38" t="s">
        <v>9</v>
      </c>
      <c r="AQ38" t="s">
        <v>53</v>
      </c>
      <c r="AR38" t="s">
        <v>190</v>
      </c>
      <c r="AS38" t="s">
        <v>174</v>
      </c>
      <c r="AT38" t="s">
        <v>191</v>
      </c>
    </row>
    <row r="39" spans="1:46" ht="105" x14ac:dyDescent="0.25">
      <c r="A39" s="5">
        <v>46058.652048611111</v>
      </c>
      <c r="B39" t="s">
        <v>358</v>
      </c>
      <c r="C39" t="s">
        <v>173</v>
      </c>
      <c r="D39" t="s">
        <v>174</v>
      </c>
      <c r="E39" t="s">
        <v>147</v>
      </c>
      <c r="H39" t="s">
        <v>175</v>
      </c>
      <c r="I39" t="s">
        <v>176</v>
      </c>
      <c r="J39" t="s">
        <v>5</v>
      </c>
      <c r="K39" t="s">
        <v>177</v>
      </c>
      <c r="L39" s="6" t="s">
        <v>359</v>
      </c>
      <c r="M39" t="s">
        <v>7</v>
      </c>
      <c r="N39" t="s">
        <v>360</v>
      </c>
      <c r="O39" t="s">
        <v>361</v>
      </c>
      <c r="P39" t="s">
        <v>362</v>
      </c>
      <c r="R39" t="s">
        <v>175</v>
      </c>
      <c r="S39" t="s">
        <v>176</v>
      </c>
      <c r="T39" t="s">
        <v>5</v>
      </c>
      <c r="U39" t="s">
        <v>177</v>
      </c>
      <c r="V39">
        <v>1</v>
      </c>
      <c r="W39" t="s">
        <v>182</v>
      </c>
      <c r="X39" t="s">
        <v>183</v>
      </c>
      <c r="Z39" t="s">
        <v>184</v>
      </c>
      <c r="AF39">
        <v>45980.791666666701</v>
      </c>
      <c r="AI39" t="s">
        <v>185</v>
      </c>
      <c r="AJ39" t="s">
        <v>186</v>
      </c>
      <c r="AK39" t="s">
        <v>187</v>
      </c>
      <c r="AL39" t="s">
        <v>187</v>
      </c>
      <c r="AM39" t="s">
        <v>188</v>
      </c>
      <c r="AN39" t="s">
        <v>189</v>
      </c>
      <c r="AO39" t="s">
        <v>6</v>
      </c>
      <c r="AP39" t="s">
        <v>9</v>
      </c>
      <c r="AQ39" t="s">
        <v>53</v>
      </c>
      <c r="AR39" t="s">
        <v>190</v>
      </c>
      <c r="AS39" t="s">
        <v>174</v>
      </c>
      <c r="AT39" t="s">
        <v>191</v>
      </c>
    </row>
    <row r="40" spans="1:46" ht="105" x14ac:dyDescent="0.25">
      <c r="A40" s="5">
        <v>46058.65587962963</v>
      </c>
      <c r="B40" t="s">
        <v>363</v>
      </c>
      <c r="C40" t="s">
        <v>173</v>
      </c>
      <c r="D40" t="s">
        <v>174</v>
      </c>
      <c r="E40" t="s">
        <v>147</v>
      </c>
      <c r="H40" t="s">
        <v>175</v>
      </c>
      <c r="I40" t="s">
        <v>176</v>
      </c>
      <c r="J40" t="s">
        <v>5</v>
      </c>
      <c r="K40" t="s">
        <v>177</v>
      </c>
      <c r="L40" s="6" t="s">
        <v>364</v>
      </c>
      <c r="M40" t="s">
        <v>7</v>
      </c>
      <c r="N40" t="s">
        <v>365</v>
      </c>
      <c r="O40" t="s">
        <v>366</v>
      </c>
      <c r="P40" t="s">
        <v>367</v>
      </c>
      <c r="R40" t="s">
        <v>175</v>
      </c>
      <c r="S40" t="s">
        <v>176</v>
      </c>
      <c r="T40" t="s">
        <v>5</v>
      </c>
      <c r="U40" t="s">
        <v>177</v>
      </c>
      <c r="V40">
        <v>1</v>
      </c>
      <c r="W40" t="s">
        <v>182</v>
      </c>
      <c r="X40" t="s">
        <v>183</v>
      </c>
      <c r="Z40" t="s">
        <v>184</v>
      </c>
      <c r="AF40">
        <v>45984.791666666701</v>
      </c>
      <c r="AI40" t="s">
        <v>185</v>
      </c>
      <c r="AJ40" t="s">
        <v>186</v>
      </c>
      <c r="AK40" t="s">
        <v>187</v>
      </c>
      <c r="AL40" t="s">
        <v>187</v>
      </c>
      <c r="AM40" t="s">
        <v>188</v>
      </c>
      <c r="AN40" t="s">
        <v>189</v>
      </c>
      <c r="AO40" t="s">
        <v>6</v>
      </c>
      <c r="AP40" t="s">
        <v>9</v>
      </c>
      <c r="AQ40" t="s">
        <v>53</v>
      </c>
      <c r="AR40" t="s">
        <v>190</v>
      </c>
      <c r="AS40" t="s">
        <v>174</v>
      </c>
      <c r="AT40" t="s">
        <v>191</v>
      </c>
    </row>
    <row r="41" spans="1:46" ht="105" x14ac:dyDescent="0.25">
      <c r="A41" s="5">
        <v>46058.659722222219</v>
      </c>
      <c r="B41" t="s">
        <v>368</v>
      </c>
      <c r="C41" t="s">
        <v>173</v>
      </c>
      <c r="D41" t="s">
        <v>174</v>
      </c>
      <c r="E41" t="s">
        <v>147</v>
      </c>
      <c r="H41" t="s">
        <v>175</v>
      </c>
      <c r="I41" t="s">
        <v>176</v>
      </c>
      <c r="J41" t="s">
        <v>5</v>
      </c>
      <c r="K41" t="s">
        <v>177</v>
      </c>
      <c r="L41" s="6" t="s">
        <v>268</v>
      </c>
      <c r="M41" t="s">
        <v>7</v>
      </c>
      <c r="N41" t="s">
        <v>369</v>
      </c>
      <c r="O41" t="s">
        <v>370</v>
      </c>
      <c r="P41" t="s">
        <v>371</v>
      </c>
      <c r="R41" t="s">
        <v>175</v>
      </c>
      <c r="S41" t="s">
        <v>176</v>
      </c>
      <c r="T41" t="s">
        <v>5</v>
      </c>
      <c r="U41" t="s">
        <v>177</v>
      </c>
      <c r="V41">
        <v>1</v>
      </c>
      <c r="W41" t="s">
        <v>182</v>
      </c>
      <c r="X41" t="s">
        <v>183</v>
      </c>
      <c r="Z41" t="s">
        <v>184</v>
      </c>
      <c r="AF41">
        <v>45985.791666666701</v>
      </c>
      <c r="AI41" t="s">
        <v>185</v>
      </c>
      <c r="AJ41" t="s">
        <v>186</v>
      </c>
      <c r="AK41" t="s">
        <v>187</v>
      </c>
      <c r="AL41" t="s">
        <v>187</v>
      </c>
      <c r="AM41" t="s">
        <v>188</v>
      </c>
      <c r="AN41" t="s">
        <v>189</v>
      </c>
      <c r="AO41" t="s">
        <v>6</v>
      </c>
      <c r="AP41" t="s">
        <v>9</v>
      </c>
      <c r="AQ41" t="s">
        <v>53</v>
      </c>
      <c r="AR41" t="s">
        <v>190</v>
      </c>
      <c r="AS41" t="s">
        <v>174</v>
      </c>
      <c r="AT41" t="s">
        <v>191</v>
      </c>
    </row>
    <row r="42" spans="1:46" ht="105" x14ac:dyDescent="0.25">
      <c r="A42" s="5">
        <v>46059.652673611112</v>
      </c>
      <c r="B42" t="s">
        <v>372</v>
      </c>
      <c r="C42" t="s">
        <v>173</v>
      </c>
      <c r="D42" t="s">
        <v>174</v>
      </c>
      <c r="E42" t="s">
        <v>325</v>
      </c>
      <c r="H42" t="s">
        <v>175</v>
      </c>
      <c r="I42" t="s">
        <v>176</v>
      </c>
      <c r="J42" t="s">
        <v>5</v>
      </c>
      <c r="K42" t="s">
        <v>200</v>
      </c>
      <c r="L42" s="6" t="s">
        <v>373</v>
      </c>
      <c r="M42" t="s">
        <v>111</v>
      </c>
      <c r="N42" t="s">
        <v>374</v>
      </c>
      <c r="O42" t="s">
        <v>375</v>
      </c>
      <c r="P42" t="s">
        <v>376</v>
      </c>
      <c r="Q42">
        <v>6</v>
      </c>
      <c r="R42" t="s">
        <v>175</v>
      </c>
      <c r="S42" t="s">
        <v>176</v>
      </c>
      <c r="T42" t="s">
        <v>5</v>
      </c>
      <c r="U42" t="s">
        <v>200</v>
      </c>
      <c r="V42">
        <v>28</v>
      </c>
      <c r="W42" t="s">
        <v>377</v>
      </c>
      <c r="X42" t="s">
        <v>378</v>
      </c>
      <c r="Z42" t="s">
        <v>191</v>
      </c>
      <c r="AB42" t="s">
        <v>379</v>
      </c>
      <c r="AF42">
        <v>46051.791666666701</v>
      </c>
      <c r="AI42" t="s">
        <v>220</v>
      </c>
      <c r="AJ42" t="s">
        <v>186</v>
      </c>
      <c r="AK42" t="s">
        <v>207</v>
      </c>
      <c r="AL42" t="s">
        <v>207</v>
      </c>
      <c r="AM42" t="s">
        <v>208</v>
      </c>
      <c r="AN42" t="s">
        <v>189</v>
      </c>
      <c r="AO42" t="s">
        <v>39</v>
      </c>
      <c r="AP42" t="s">
        <v>41</v>
      </c>
      <c r="AQ42" t="s">
        <v>53</v>
      </c>
      <c r="AR42" t="s">
        <v>190</v>
      </c>
      <c r="AS42" t="s">
        <v>174</v>
      </c>
      <c r="AT42" t="s">
        <v>191</v>
      </c>
    </row>
    <row r="43" spans="1:46" ht="120" x14ac:dyDescent="0.25">
      <c r="A43" s="5">
        <v>46057.634386574071</v>
      </c>
      <c r="B43" t="s">
        <v>380</v>
      </c>
      <c r="C43" t="s">
        <v>173</v>
      </c>
      <c r="D43" t="s">
        <v>174</v>
      </c>
      <c r="E43" t="s">
        <v>147</v>
      </c>
      <c r="H43" t="s">
        <v>175</v>
      </c>
      <c r="I43" t="s">
        <v>176</v>
      </c>
      <c r="J43" t="s">
        <v>5</v>
      </c>
      <c r="K43" t="s">
        <v>177</v>
      </c>
      <c r="L43" s="6" t="s">
        <v>381</v>
      </c>
      <c r="M43" t="s">
        <v>7</v>
      </c>
      <c r="N43" t="s">
        <v>382</v>
      </c>
      <c r="O43" t="s">
        <v>383</v>
      </c>
      <c r="P43" t="s">
        <v>384</v>
      </c>
      <c r="R43" t="s">
        <v>175</v>
      </c>
      <c r="S43" t="s">
        <v>176</v>
      </c>
      <c r="T43" t="s">
        <v>5</v>
      </c>
      <c r="U43" t="s">
        <v>177</v>
      </c>
      <c r="V43">
        <v>1</v>
      </c>
      <c r="W43" t="s">
        <v>182</v>
      </c>
      <c r="X43" t="s">
        <v>183</v>
      </c>
      <c r="Z43" t="s">
        <v>184</v>
      </c>
      <c r="AF43">
        <v>45978.791666666701</v>
      </c>
      <c r="AI43" t="s">
        <v>185</v>
      </c>
      <c r="AJ43" t="s">
        <v>186</v>
      </c>
      <c r="AK43" t="s">
        <v>187</v>
      </c>
      <c r="AL43" t="s">
        <v>187</v>
      </c>
      <c r="AM43" t="s">
        <v>188</v>
      </c>
      <c r="AN43" t="s">
        <v>189</v>
      </c>
      <c r="AO43" t="s">
        <v>6</v>
      </c>
      <c r="AP43" t="s">
        <v>9</v>
      </c>
      <c r="AQ43" t="s">
        <v>53</v>
      </c>
      <c r="AR43" t="s">
        <v>190</v>
      </c>
      <c r="AS43" t="s">
        <v>174</v>
      </c>
      <c r="AT43" t="s">
        <v>191</v>
      </c>
    </row>
    <row r="44" spans="1:46" ht="150" x14ac:dyDescent="0.25">
      <c r="A44" s="5">
        <v>46056.377199074072</v>
      </c>
      <c r="B44" t="s">
        <v>385</v>
      </c>
      <c r="C44" t="s">
        <v>173</v>
      </c>
      <c r="D44" t="s">
        <v>174</v>
      </c>
      <c r="E44" t="s">
        <v>325</v>
      </c>
      <c r="H44" t="s">
        <v>175</v>
      </c>
      <c r="I44" t="s">
        <v>176</v>
      </c>
      <c r="J44" t="s">
        <v>5</v>
      </c>
      <c r="K44" t="s">
        <v>200</v>
      </c>
      <c r="L44" s="6" t="s">
        <v>386</v>
      </c>
      <c r="M44" t="s">
        <v>84</v>
      </c>
      <c r="N44" t="s">
        <v>387</v>
      </c>
      <c r="O44" t="s">
        <v>388</v>
      </c>
      <c r="P44" t="s">
        <v>389</v>
      </c>
      <c r="Q44">
        <v>3</v>
      </c>
      <c r="R44" t="s">
        <v>175</v>
      </c>
      <c r="S44" t="s">
        <v>176</v>
      </c>
      <c r="T44" t="s">
        <v>5</v>
      </c>
      <c r="U44" t="s">
        <v>200</v>
      </c>
      <c r="V44">
        <v>8</v>
      </c>
      <c r="W44" t="s">
        <v>330</v>
      </c>
      <c r="X44" t="s">
        <v>331</v>
      </c>
      <c r="Z44" t="s">
        <v>191</v>
      </c>
      <c r="AB44" t="s">
        <v>390</v>
      </c>
      <c r="AF44">
        <v>46047.791666666701</v>
      </c>
      <c r="AI44" t="s">
        <v>220</v>
      </c>
      <c r="AJ44" t="s">
        <v>186</v>
      </c>
      <c r="AK44" t="s">
        <v>207</v>
      </c>
      <c r="AL44" t="s">
        <v>207</v>
      </c>
      <c r="AM44" t="s">
        <v>208</v>
      </c>
      <c r="AN44" t="s">
        <v>189</v>
      </c>
      <c r="AO44" t="s">
        <v>26</v>
      </c>
      <c r="AP44" t="s">
        <v>32</v>
      </c>
      <c r="AQ44" t="s">
        <v>53</v>
      </c>
      <c r="AR44" t="s">
        <v>190</v>
      </c>
      <c r="AS44" t="s">
        <v>174</v>
      </c>
      <c r="AT44" t="s">
        <v>191</v>
      </c>
    </row>
    <row r="45" spans="1:46" ht="210" x14ac:dyDescent="0.25">
      <c r="A45" s="5">
        <v>46064.400462962964</v>
      </c>
      <c r="B45" t="s">
        <v>391</v>
      </c>
      <c r="C45" t="s">
        <v>173</v>
      </c>
      <c r="D45" t="s">
        <v>174</v>
      </c>
      <c r="E45" t="s">
        <v>210</v>
      </c>
      <c r="G45" t="s">
        <v>392</v>
      </c>
      <c r="H45" t="s">
        <v>175</v>
      </c>
      <c r="I45" t="s">
        <v>176</v>
      </c>
      <c r="J45" t="s">
        <v>5</v>
      </c>
      <c r="K45" t="s">
        <v>200</v>
      </c>
      <c r="L45" s="6" t="s">
        <v>393</v>
      </c>
      <c r="M45" t="s">
        <v>50</v>
      </c>
      <c r="N45" t="s">
        <v>394</v>
      </c>
      <c r="O45" t="s">
        <v>395</v>
      </c>
      <c r="P45" t="s">
        <v>396</v>
      </c>
      <c r="Q45">
        <v>1</v>
      </c>
      <c r="R45" t="s">
        <v>175</v>
      </c>
      <c r="S45" t="s">
        <v>176</v>
      </c>
      <c r="T45" t="s">
        <v>5</v>
      </c>
      <c r="U45" t="s">
        <v>200</v>
      </c>
      <c r="V45">
        <v>60</v>
      </c>
      <c r="W45" t="s">
        <v>397</v>
      </c>
      <c r="X45" t="s">
        <v>398</v>
      </c>
      <c r="Z45" t="s">
        <v>191</v>
      </c>
      <c r="AB45" t="s">
        <v>399</v>
      </c>
      <c r="AC45" t="s">
        <v>400</v>
      </c>
      <c r="AF45">
        <v>45519.833333333299</v>
      </c>
      <c r="AI45" t="s">
        <v>220</v>
      </c>
      <c r="AJ45" t="s">
        <v>186</v>
      </c>
      <c r="AK45" t="s">
        <v>207</v>
      </c>
      <c r="AL45" t="s">
        <v>207</v>
      </c>
      <c r="AM45" t="s">
        <v>208</v>
      </c>
      <c r="AN45" t="s">
        <v>189</v>
      </c>
      <c r="AO45" t="s">
        <v>27</v>
      </c>
      <c r="AP45" t="s">
        <v>33</v>
      </c>
      <c r="AQ45" t="s">
        <v>53</v>
      </c>
      <c r="AR45" t="s">
        <v>190</v>
      </c>
      <c r="AS45" t="s">
        <v>174</v>
      </c>
      <c r="AT45" t="s">
        <v>191</v>
      </c>
    </row>
    <row r="46" spans="1:46" ht="210" x14ac:dyDescent="0.25">
      <c r="A46" s="5">
        <v>46064.400462962964</v>
      </c>
      <c r="B46" t="s">
        <v>391</v>
      </c>
      <c r="C46" t="s">
        <v>173</v>
      </c>
      <c r="D46" t="s">
        <v>174</v>
      </c>
      <c r="E46" t="s">
        <v>210</v>
      </c>
      <c r="G46" t="s">
        <v>392</v>
      </c>
      <c r="H46" t="s">
        <v>175</v>
      </c>
      <c r="I46" t="s">
        <v>176</v>
      </c>
      <c r="J46" t="s">
        <v>5</v>
      </c>
      <c r="K46" t="s">
        <v>200</v>
      </c>
      <c r="L46" s="6" t="s">
        <v>393</v>
      </c>
      <c r="M46" t="s">
        <v>50</v>
      </c>
      <c r="N46" t="s">
        <v>394</v>
      </c>
      <c r="O46" t="s">
        <v>395</v>
      </c>
      <c r="P46" t="s">
        <v>396</v>
      </c>
      <c r="Q46">
        <v>3</v>
      </c>
      <c r="R46" t="s">
        <v>175</v>
      </c>
      <c r="S46" t="s">
        <v>176</v>
      </c>
      <c r="T46" t="s">
        <v>11</v>
      </c>
      <c r="U46" t="s">
        <v>200</v>
      </c>
      <c r="V46">
        <v>60</v>
      </c>
      <c r="W46" t="s">
        <v>216</v>
      </c>
      <c r="X46" t="s">
        <v>401</v>
      </c>
      <c r="Z46" t="s">
        <v>191</v>
      </c>
      <c r="AB46" t="s">
        <v>402</v>
      </c>
      <c r="AC46" t="s">
        <v>403</v>
      </c>
      <c r="AF46">
        <v>45519.833333333299</v>
      </c>
      <c r="AI46" t="s">
        <v>220</v>
      </c>
      <c r="AJ46" t="s">
        <v>186</v>
      </c>
      <c r="AK46" t="s">
        <v>207</v>
      </c>
      <c r="AL46" t="s">
        <v>207</v>
      </c>
      <c r="AM46" t="s">
        <v>208</v>
      </c>
      <c r="AN46" t="s">
        <v>189</v>
      </c>
      <c r="AO46" t="s">
        <v>51</v>
      </c>
      <c r="AP46" t="s">
        <v>60</v>
      </c>
      <c r="AQ46" t="s">
        <v>53</v>
      </c>
      <c r="AR46" t="s">
        <v>190</v>
      </c>
      <c r="AS46" t="s">
        <v>174</v>
      </c>
      <c r="AT46" t="s">
        <v>191</v>
      </c>
    </row>
    <row r="47" spans="1:46" ht="105" x14ac:dyDescent="0.25">
      <c r="A47" s="5">
        <v>46072.476979166669</v>
      </c>
      <c r="B47" t="s">
        <v>404</v>
      </c>
      <c r="C47" t="s">
        <v>173</v>
      </c>
      <c r="D47" t="s">
        <v>174</v>
      </c>
      <c r="E47" t="s">
        <v>147</v>
      </c>
      <c r="H47" t="s">
        <v>175</v>
      </c>
      <c r="I47" t="s">
        <v>176</v>
      </c>
      <c r="J47" t="s">
        <v>5</v>
      </c>
      <c r="K47" t="s">
        <v>177</v>
      </c>
      <c r="L47" s="6" t="s">
        <v>405</v>
      </c>
      <c r="M47" t="s">
        <v>7</v>
      </c>
      <c r="N47" t="s">
        <v>406</v>
      </c>
      <c r="O47" t="s">
        <v>407</v>
      </c>
      <c r="P47" t="s">
        <v>408</v>
      </c>
      <c r="R47" t="s">
        <v>175</v>
      </c>
      <c r="S47" t="s">
        <v>176</v>
      </c>
      <c r="T47" t="s">
        <v>5</v>
      </c>
      <c r="U47" t="s">
        <v>177</v>
      </c>
      <c r="V47">
        <v>1</v>
      </c>
      <c r="W47" t="s">
        <v>182</v>
      </c>
      <c r="X47" t="s">
        <v>183</v>
      </c>
      <c r="Z47" t="s">
        <v>184</v>
      </c>
      <c r="AF47">
        <v>45992.791666666701</v>
      </c>
      <c r="AI47" t="s">
        <v>185</v>
      </c>
      <c r="AJ47" t="s">
        <v>186</v>
      </c>
      <c r="AK47" t="s">
        <v>187</v>
      </c>
      <c r="AL47" t="s">
        <v>187</v>
      </c>
      <c r="AM47" t="s">
        <v>188</v>
      </c>
      <c r="AN47" t="s">
        <v>189</v>
      </c>
      <c r="AO47" t="s">
        <v>6</v>
      </c>
      <c r="AP47" t="s">
        <v>9</v>
      </c>
      <c r="AQ47" t="s">
        <v>53</v>
      </c>
      <c r="AR47" t="s">
        <v>190</v>
      </c>
      <c r="AS47" t="s">
        <v>174</v>
      </c>
      <c r="AT47" t="s">
        <v>191</v>
      </c>
    </row>
    <row r="48" spans="1:46" ht="105" x14ac:dyDescent="0.25">
      <c r="A48" s="5">
        <v>46072.482118055559</v>
      </c>
      <c r="B48" t="s">
        <v>409</v>
      </c>
      <c r="C48" t="s">
        <v>173</v>
      </c>
      <c r="D48" t="s">
        <v>174</v>
      </c>
      <c r="E48" t="s">
        <v>147</v>
      </c>
      <c r="H48" t="s">
        <v>175</v>
      </c>
      <c r="I48" t="s">
        <v>176</v>
      </c>
      <c r="J48" t="s">
        <v>5</v>
      </c>
      <c r="K48" t="s">
        <v>177</v>
      </c>
      <c r="L48" s="6" t="s">
        <v>410</v>
      </c>
      <c r="M48" t="s">
        <v>7</v>
      </c>
      <c r="N48" t="s">
        <v>411</v>
      </c>
      <c r="O48" t="s">
        <v>412</v>
      </c>
      <c r="P48" t="s">
        <v>413</v>
      </c>
      <c r="R48" t="s">
        <v>175</v>
      </c>
      <c r="S48" t="s">
        <v>176</v>
      </c>
      <c r="T48" t="s">
        <v>5</v>
      </c>
      <c r="U48" t="s">
        <v>177</v>
      </c>
      <c r="V48">
        <v>1</v>
      </c>
      <c r="W48" t="s">
        <v>182</v>
      </c>
      <c r="X48" t="s">
        <v>183</v>
      </c>
      <c r="Z48" t="s">
        <v>184</v>
      </c>
      <c r="AF48">
        <v>45992.791666666701</v>
      </c>
      <c r="AI48" t="s">
        <v>185</v>
      </c>
      <c r="AJ48" t="s">
        <v>186</v>
      </c>
      <c r="AK48" t="s">
        <v>187</v>
      </c>
      <c r="AL48" t="s">
        <v>187</v>
      </c>
      <c r="AM48" t="s">
        <v>188</v>
      </c>
      <c r="AN48" t="s">
        <v>189</v>
      </c>
      <c r="AO48" t="s">
        <v>6</v>
      </c>
      <c r="AP48" t="s">
        <v>9</v>
      </c>
      <c r="AQ48" t="s">
        <v>53</v>
      </c>
      <c r="AR48" t="s">
        <v>190</v>
      </c>
      <c r="AS48" t="s">
        <v>174</v>
      </c>
      <c r="AT48" t="s">
        <v>191</v>
      </c>
    </row>
    <row r="49" spans="1:46" ht="105" x14ac:dyDescent="0.25">
      <c r="A49" s="5">
        <v>46072.486828703702</v>
      </c>
      <c r="B49" t="s">
        <v>414</v>
      </c>
      <c r="C49" t="s">
        <v>173</v>
      </c>
      <c r="D49" t="s">
        <v>174</v>
      </c>
      <c r="E49" t="s">
        <v>147</v>
      </c>
      <c r="H49" t="s">
        <v>175</v>
      </c>
      <c r="I49" t="s">
        <v>176</v>
      </c>
      <c r="J49" t="s">
        <v>5</v>
      </c>
      <c r="K49" t="s">
        <v>177</v>
      </c>
      <c r="L49" s="6" t="s">
        <v>415</v>
      </c>
      <c r="M49" t="s">
        <v>7</v>
      </c>
      <c r="N49" t="s">
        <v>416</v>
      </c>
      <c r="O49" t="s">
        <v>417</v>
      </c>
      <c r="P49" t="s">
        <v>418</v>
      </c>
      <c r="R49" t="s">
        <v>175</v>
      </c>
      <c r="S49" t="s">
        <v>176</v>
      </c>
      <c r="T49" t="s">
        <v>5</v>
      </c>
      <c r="U49" t="s">
        <v>177</v>
      </c>
      <c r="V49">
        <v>1</v>
      </c>
      <c r="W49" t="s">
        <v>182</v>
      </c>
      <c r="X49" t="s">
        <v>183</v>
      </c>
      <c r="Z49" t="s">
        <v>184</v>
      </c>
      <c r="AF49">
        <v>45992.791666666701</v>
      </c>
      <c r="AI49" t="s">
        <v>185</v>
      </c>
      <c r="AJ49" t="s">
        <v>186</v>
      </c>
      <c r="AK49" t="s">
        <v>187</v>
      </c>
      <c r="AL49" t="s">
        <v>187</v>
      </c>
      <c r="AM49" t="s">
        <v>188</v>
      </c>
      <c r="AN49" t="s">
        <v>189</v>
      </c>
      <c r="AO49" t="s">
        <v>6</v>
      </c>
      <c r="AP49" t="s">
        <v>9</v>
      </c>
      <c r="AQ49" t="s">
        <v>53</v>
      </c>
      <c r="AR49" t="s">
        <v>190</v>
      </c>
      <c r="AS49" t="s">
        <v>174</v>
      </c>
      <c r="AT49" t="s">
        <v>191</v>
      </c>
    </row>
    <row r="50" spans="1:46" ht="105" x14ac:dyDescent="0.25">
      <c r="A50" s="5">
        <v>46072.490983796299</v>
      </c>
      <c r="B50" t="s">
        <v>419</v>
      </c>
      <c r="C50" t="s">
        <v>173</v>
      </c>
      <c r="D50" t="s">
        <v>174</v>
      </c>
      <c r="E50" t="s">
        <v>147</v>
      </c>
      <c r="H50" t="s">
        <v>175</v>
      </c>
      <c r="I50" t="s">
        <v>176</v>
      </c>
      <c r="J50" t="s">
        <v>5</v>
      </c>
      <c r="K50" t="s">
        <v>177</v>
      </c>
      <c r="L50" s="6" t="s">
        <v>420</v>
      </c>
      <c r="M50" t="s">
        <v>7</v>
      </c>
      <c r="N50" t="s">
        <v>421</v>
      </c>
      <c r="O50" t="s">
        <v>422</v>
      </c>
      <c r="P50" t="s">
        <v>423</v>
      </c>
      <c r="R50" t="s">
        <v>175</v>
      </c>
      <c r="S50" t="s">
        <v>176</v>
      </c>
      <c r="T50" t="s">
        <v>5</v>
      </c>
      <c r="U50" t="s">
        <v>177</v>
      </c>
      <c r="V50">
        <v>1</v>
      </c>
      <c r="W50" t="s">
        <v>182</v>
      </c>
      <c r="X50" t="s">
        <v>183</v>
      </c>
      <c r="Z50" t="s">
        <v>184</v>
      </c>
      <c r="AF50">
        <v>45993.791666666701</v>
      </c>
      <c r="AI50" t="s">
        <v>185</v>
      </c>
      <c r="AJ50" t="s">
        <v>186</v>
      </c>
      <c r="AK50" t="s">
        <v>187</v>
      </c>
      <c r="AL50" t="s">
        <v>187</v>
      </c>
      <c r="AM50" t="s">
        <v>188</v>
      </c>
      <c r="AN50" t="s">
        <v>189</v>
      </c>
      <c r="AO50" t="s">
        <v>6</v>
      </c>
      <c r="AP50" t="s">
        <v>9</v>
      </c>
      <c r="AQ50" t="s">
        <v>53</v>
      </c>
      <c r="AR50" t="s">
        <v>190</v>
      </c>
      <c r="AS50" t="s">
        <v>174</v>
      </c>
      <c r="AT50" t="s">
        <v>191</v>
      </c>
    </row>
    <row r="51" spans="1:46" ht="105" x14ac:dyDescent="0.25">
      <c r="A51" s="5">
        <v>46072.495219907411</v>
      </c>
      <c r="B51" t="s">
        <v>424</v>
      </c>
      <c r="C51" t="s">
        <v>173</v>
      </c>
      <c r="D51" t="s">
        <v>174</v>
      </c>
      <c r="E51" t="s">
        <v>147</v>
      </c>
      <c r="H51" t="s">
        <v>175</v>
      </c>
      <c r="I51" t="s">
        <v>176</v>
      </c>
      <c r="J51" t="s">
        <v>5</v>
      </c>
      <c r="K51" t="s">
        <v>177</v>
      </c>
      <c r="L51" s="6" t="s">
        <v>425</v>
      </c>
      <c r="M51" t="s">
        <v>7</v>
      </c>
      <c r="N51" t="s">
        <v>426</v>
      </c>
      <c r="O51" t="s">
        <v>427</v>
      </c>
      <c r="P51" t="s">
        <v>428</v>
      </c>
      <c r="R51" t="s">
        <v>175</v>
      </c>
      <c r="S51" t="s">
        <v>176</v>
      </c>
      <c r="T51" t="s">
        <v>5</v>
      </c>
      <c r="U51" t="s">
        <v>177</v>
      </c>
      <c r="V51">
        <v>1</v>
      </c>
      <c r="W51" t="s">
        <v>182</v>
      </c>
      <c r="X51" t="s">
        <v>183</v>
      </c>
      <c r="Z51" t="s">
        <v>184</v>
      </c>
      <c r="AF51">
        <v>45993.791666666701</v>
      </c>
      <c r="AI51" t="s">
        <v>185</v>
      </c>
      <c r="AJ51" t="s">
        <v>186</v>
      </c>
      <c r="AK51" t="s">
        <v>187</v>
      </c>
      <c r="AL51" t="s">
        <v>187</v>
      </c>
      <c r="AM51" t="s">
        <v>188</v>
      </c>
      <c r="AN51" t="s">
        <v>189</v>
      </c>
      <c r="AO51" t="s">
        <v>6</v>
      </c>
      <c r="AP51" t="s">
        <v>9</v>
      </c>
      <c r="AQ51" t="s">
        <v>53</v>
      </c>
      <c r="AR51" t="s">
        <v>190</v>
      </c>
      <c r="AS51" t="s">
        <v>174</v>
      </c>
      <c r="AT51" t="s">
        <v>191</v>
      </c>
    </row>
    <row r="52" spans="1:46" ht="105" x14ac:dyDescent="0.25">
      <c r="A52" s="5">
        <v>46072.50099537037</v>
      </c>
      <c r="B52" t="s">
        <v>429</v>
      </c>
      <c r="C52" t="s">
        <v>173</v>
      </c>
      <c r="D52" t="s">
        <v>174</v>
      </c>
      <c r="E52" t="s">
        <v>147</v>
      </c>
      <c r="H52" t="s">
        <v>175</v>
      </c>
      <c r="I52" t="s">
        <v>176</v>
      </c>
      <c r="J52" t="s">
        <v>5</v>
      </c>
      <c r="K52" t="s">
        <v>177</v>
      </c>
      <c r="L52" s="6" t="s">
        <v>430</v>
      </c>
      <c r="M52" t="s">
        <v>7</v>
      </c>
      <c r="N52" t="s">
        <v>431</v>
      </c>
      <c r="O52" t="s">
        <v>432</v>
      </c>
      <c r="P52" t="s">
        <v>433</v>
      </c>
      <c r="R52" t="s">
        <v>175</v>
      </c>
      <c r="S52" t="s">
        <v>176</v>
      </c>
      <c r="T52" t="s">
        <v>5</v>
      </c>
      <c r="U52" t="s">
        <v>177</v>
      </c>
      <c r="V52">
        <v>1</v>
      </c>
      <c r="W52" t="s">
        <v>182</v>
      </c>
      <c r="X52" t="s">
        <v>183</v>
      </c>
      <c r="Z52" t="s">
        <v>184</v>
      </c>
      <c r="AF52">
        <v>45999.791666666701</v>
      </c>
      <c r="AI52" t="s">
        <v>185</v>
      </c>
      <c r="AJ52" t="s">
        <v>186</v>
      </c>
      <c r="AK52" t="s">
        <v>187</v>
      </c>
      <c r="AL52" t="s">
        <v>187</v>
      </c>
      <c r="AM52" t="s">
        <v>188</v>
      </c>
      <c r="AN52" t="s">
        <v>189</v>
      </c>
      <c r="AO52" t="s">
        <v>6</v>
      </c>
      <c r="AP52" t="s">
        <v>9</v>
      </c>
      <c r="AQ52" t="s">
        <v>53</v>
      </c>
      <c r="AR52" t="s">
        <v>190</v>
      </c>
      <c r="AS52" t="s">
        <v>174</v>
      </c>
      <c r="AT52" t="s">
        <v>191</v>
      </c>
    </row>
    <row r="53" spans="1:46" ht="105" x14ac:dyDescent="0.25">
      <c r="A53" s="5">
        <v>46072.50576388889</v>
      </c>
      <c r="B53" t="s">
        <v>434</v>
      </c>
      <c r="C53" t="s">
        <v>173</v>
      </c>
      <c r="D53" t="s">
        <v>174</v>
      </c>
      <c r="E53" t="s">
        <v>147</v>
      </c>
      <c r="H53" t="s">
        <v>175</v>
      </c>
      <c r="I53" t="s">
        <v>176</v>
      </c>
      <c r="J53" t="s">
        <v>5</v>
      </c>
      <c r="K53" t="s">
        <v>177</v>
      </c>
      <c r="L53" s="6" t="s">
        <v>435</v>
      </c>
      <c r="M53" t="s">
        <v>7</v>
      </c>
      <c r="N53" t="s">
        <v>436</v>
      </c>
      <c r="O53" t="s">
        <v>437</v>
      </c>
      <c r="P53" t="s">
        <v>438</v>
      </c>
      <c r="R53" t="s">
        <v>175</v>
      </c>
      <c r="S53" t="s">
        <v>176</v>
      </c>
      <c r="T53" t="s">
        <v>5</v>
      </c>
      <c r="U53" t="s">
        <v>177</v>
      </c>
      <c r="V53">
        <v>1</v>
      </c>
      <c r="W53" t="s">
        <v>182</v>
      </c>
      <c r="X53" t="s">
        <v>183</v>
      </c>
      <c r="Z53" t="s">
        <v>184</v>
      </c>
      <c r="AF53">
        <v>45999.791666666701</v>
      </c>
      <c r="AI53" t="s">
        <v>185</v>
      </c>
      <c r="AJ53" t="s">
        <v>186</v>
      </c>
      <c r="AK53" t="s">
        <v>187</v>
      </c>
      <c r="AL53" t="s">
        <v>187</v>
      </c>
      <c r="AM53" t="s">
        <v>188</v>
      </c>
      <c r="AN53" t="s">
        <v>189</v>
      </c>
      <c r="AO53" t="s">
        <v>6</v>
      </c>
      <c r="AP53" t="s">
        <v>9</v>
      </c>
      <c r="AQ53" t="s">
        <v>53</v>
      </c>
      <c r="AR53" t="s">
        <v>190</v>
      </c>
      <c r="AS53" t="s">
        <v>174</v>
      </c>
      <c r="AT53" t="s">
        <v>191</v>
      </c>
    </row>
    <row r="54" spans="1:46" ht="270" x14ac:dyDescent="0.25">
      <c r="A54" s="5">
        <v>46066.402430555558</v>
      </c>
      <c r="B54" t="s">
        <v>439</v>
      </c>
      <c r="C54" t="s">
        <v>173</v>
      </c>
      <c r="D54" t="s">
        <v>174</v>
      </c>
      <c r="E54" t="s">
        <v>210</v>
      </c>
      <c r="G54" t="s">
        <v>211</v>
      </c>
      <c r="H54" t="s">
        <v>175</v>
      </c>
      <c r="I54" t="s">
        <v>176</v>
      </c>
      <c r="J54" t="s">
        <v>5</v>
      </c>
      <c r="K54" t="s">
        <v>200</v>
      </c>
      <c r="L54" s="6" t="s">
        <v>440</v>
      </c>
      <c r="M54" t="s">
        <v>25</v>
      </c>
      <c r="N54" t="s">
        <v>441</v>
      </c>
      <c r="O54" t="s">
        <v>442</v>
      </c>
      <c r="P54" t="s">
        <v>443</v>
      </c>
      <c r="Q54">
        <v>17</v>
      </c>
      <c r="R54" t="s">
        <v>175</v>
      </c>
      <c r="S54" t="s">
        <v>176</v>
      </c>
      <c r="T54" t="s">
        <v>5</v>
      </c>
      <c r="U54" t="s">
        <v>200</v>
      </c>
      <c r="V54">
        <v>1</v>
      </c>
      <c r="W54" t="s">
        <v>216</v>
      </c>
      <c r="X54" t="s">
        <v>217</v>
      </c>
      <c r="Z54" t="s">
        <v>191</v>
      </c>
      <c r="AB54" t="s">
        <v>444</v>
      </c>
      <c r="AC54" t="s">
        <v>219</v>
      </c>
      <c r="AF54">
        <v>46056.791666666701</v>
      </c>
      <c r="AI54" t="s">
        <v>220</v>
      </c>
      <c r="AJ54" t="s">
        <v>186</v>
      </c>
      <c r="AK54" t="s">
        <v>221</v>
      </c>
      <c r="AL54" t="s">
        <v>221</v>
      </c>
      <c r="AM54" t="s">
        <v>208</v>
      </c>
      <c r="AN54" t="s">
        <v>189</v>
      </c>
      <c r="AO54" t="s">
        <v>51</v>
      </c>
      <c r="AP54" t="s">
        <v>54</v>
      </c>
      <c r="AQ54" t="s">
        <v>53</v>
      </c>
      <c r="AR54" t="s">
        <v>190</v>
      </c>
      <c r="AS54" t="s">
        <v>174</v>
      </c>
      <c r="AT54" t="s">
        <v>191</v>
      </c>
    </row>
    <row r="55" spans="1:46" ht="150" x14ac:dyDescent="0.25">
      <c r="A55" s="5">
        <v>46057.643553240741</v>
      </c>
      <c r="B55" t="s">
        <v>445</v>
      </c>
      <c r="C55" t="s">
        <v>173</v>
      </c>
      <c r="D55" t="s">
        <v>174</v>
      </c>
      <c r="E55" t="s">
        <v>325</v>
      </c>
      <c r="H55" t="s">
        <v>175</v>
      </c>
      <c r="I55" t="s">
        <v>176</v>
      </c>
      <c r="J55" t="s">
        <v>5</v>
      </c>
      <c r="K55" t="s">
        <v>177</v>
      </c>
      <c r="L55" s="6" t="s">
        <v>446</v>
      </c>
      <c r="M55" t="s">
        <v>36</v>
      </c>
      <c r="N55" t="s">
        <v>447</v>
      </c>
      <c r="O55" t="s">
        <v>448</v>
      </c>
      <c r="P55" t="s">
        <v>449</v>
      </c>
      <c r="Q55">
        <v>34</v>
      </c>
      <c r="R55" t="s">
        <v>175</v>
      </c>
      <c r="S55" t="s">
        <v>176</v>
      </c>
      <c r="T55" t="s">
        <v>5</v>
      </c>
      <c r="U55" t="s">
        <v>200</v>
      </c>
      <c r="V55">
        <v>8</v>
      </c>
      <c r="W55" t="s">
        <v>377</v>
      </c>
      <c r="X55" t="s">
        <v>450</v>
      </c>
      <c r="Z55" t="s">
        <v>191</v>
      </c>
      <c r="AB55" t="s">
        <v>451</v>
      </c>
      <c r="AF55">
        <v>46047.791666666701</v>
      </c>
      <c r="AI55" t="s">
        <v>220</v>
      </c>
      <c r="AJ55" t="s">
        <v>186</v>
      </c>
      <c r="AK55" t="s">
        <v>333</v>
      </c>
      <c r="AL55" t="s">
        <v>207</v>
      </c>
      <c r="AM55" t="s">
        <v>208</v>
      </c>
      <c r="AN55" t="s">
        <v>189</v>
      </c>
      <c r="AO55" t="s">
        <v>39</v>
      </c>
      <c r="AP55" t="s">
        <v>43</v>
      </c>
      <c r="AQ55" t="s">
        <v>53</v>
      </c>
      <c r="AR55" t="s">
        <v>190</v>
      </c>
      <c r="AS55" t="s">
        <v>174</v>
      </c>
      <c r="AT55" t="s">
        <v>191</v>
      </c>
    </row>
    <row r="56" spans="1:46" ht="105" x14ac:dyDescent="0.25">
      <c r="A56" s="5">
        <v>46072.509895833333</v>
      </c>
      <c r="B56" t="s">
        <v>452</v>
      </c>
      <c r="C56" t="s">
        <v>173</v>
      </c>
      <c r="D56" t="s">
        <v>174</v>
      </c>
      <c r="E56" t="s">
        <v>147</v>
      </c>
      <c r="H56" t="s">
        <v>175</v>
      </c>
      <c r="I56" t="s">
        <v>176</v>
      </c>
      <c r="J56" t="s">
        <v>5</v>
      </c>
      <c r="K56" t="s">
        <v>177</v>
      </c>
      <c r="L56" s="6" t="s">
        <v>453</v>
      </c>
      <c r="M56" t="s">
        <v>7</v>
      </c>
      <c r="N56" t="s">
        <v>454</v>
      </c>
      <c r="O56" t="s">
        <v>455</v>
      </c>
      <c r="P56" t="s">
        <v>456</v>
      </c>
      <c r="R56" t="s">
        <v>175</v>
      </c>
      <c r="S56" t="s">
        <v>176</v>
      </c>
      <c r="T56" t="s">
        <v>5</v>
      </c>
      <c r="U56" t="s">
        <v>177</v>
      </c>
      <c r="V56">
        <v>1</v>
      </c>
      <c r="W56" t="s">
        <v>182</v>
      </c>
      <c r="X56" t="s">
        <v>183</v>
      </c>
      <c r="Z56" t="s">
        <v>184</v>
      </c>
      <c r="AF56">
        <v>45999.791666666701</v>
      </c>
      <c r="AI56" t="s">
        <v>185</v>
      </c>
      <c r="AJ56" t="s">
        <v>186</v>
      </c>
      <c r="AK56" t="s">
        <v>187</v>
      </c>
      <c r="AL56" t="s">
        <v>187</v>
      </c>
      <c r="AM56" t="s">
        <v>188</v>
      </c>
      <c r="AN56" t="s">
        <v>189</v>
      </c>
      <c r="AO56" t="s">
        <v>6</v>
      </c>
      <c r="AP56" t="s">
        <v>9</v>
      </c>
      <c r="AQ56" t="s">
        <v>53</v>
      </c>
      <c r="AR56" t="s">
        <v>190</v>
      </c>
      <c r="AS56" t="s">
        <v>174</v>
      </c>
      <c r="AT56" t="s">
        <v>191</v>
      </c>
    </row>
    <row r="57" spans="1:46" ht="105" x14ac:dyDescent="0.25">
      <c r="A57" s="5">
        <v>46072.513958333337</v>
      </c>
      <c r="B57" t="s">
        <v>457</v>
      </c>
      <c r="C57" t="s">
        <v>173</v>
      </c>
      <c r="D57" t="s">
        <v>174</v>
      </c>
      <c r="E57" t="s">
        <v>147</v>
      </c>
      <c r="H57" t="s">
        <v>175</v>
      </c>
      <c r="I57" t="s">
        <v>176</v>
      </c>
      <c r="J57" t="s">
        <v>5</v>
      </c>
      <c r="K57" t="s">
        <v>177</v>
      </c>
      <c r="L57" s="6" t="s">
        <v>458</v>
      </c>
      <c r="M57" t="s">
        <v>7</v>
      </c>
      <c r="N57" t="s">
        <v>459</v>
      </c>
      <c r="O57" t="s">
        <v>460</v>
      </c>
      <c r="P57" t="s">
        <v>461</v>
      </c>
      <c r="R57" t="s">
        <v>175</v>
      </c>
      <c r="S57" t="s">
        <v>176</v>
      </c>
      <c r="T57" t="s">
        <v>5</v>
      </c>
      <c r="U57" t="s">
        <v>177</v>
      </c>
      <c r="V57">
        <v>1</v>
      </c>
      <c r="W57" t="s">
        <v>182</v>
      </c>
      <c r="X57" t="s">
        <v>183</v>
      </c>
      <c r="Z57" t="s">
        <v>184</v>
      </c>
      <c r="AF57">
        <v>46000.791666666701</v>
      </c>
      <c r="AI57" t="s">
        <v>185</v>
      </c>
      <c r="AJ57" t="s">
        <v>186</v>
      </c>
      <c r="AK57" t="s">
        <v>187</v>
      </c>
      <c r="AL57" t="s">
        <v>187</v>
      </c>
      <c r="AM57" t="s">
        <v>188</v>
      </c>
      <c r="AN57" t="s">
        <v>189</v>
      </c>
      <c r="AO57" t="s">
        <v>6</v>
      </c>
      <c r="AP57" t="s">
        <v>9</v>
      </c>
      <c r="AQ57" t="s">
        <v>53</v>
      </c>
      <c r="AR57" t="s">
        <v>190</v>
      </c>
      <c r="AS57" t="s">
        <v>174</v>
      </c>
      <c r="AT57" t="s">
        <v>191</v>
      </c>
    </row>
    <row r="58" spans="1:46" ht="330" x14ac:dyDescent="0.25">
      <c r="A58" s="5">
        <v>46080.5628125</v>
      </c>
      <c r="B58" t="s">
        <v>462</v>
      </c>
      <c r="C58" t="s">
        <v>173</v>
      </c>
      <c r="D58" t="s">
        <v>174</v>
      </c>
      <c r="E58" t="s">
        <v>325</v>
      </c>
      <c r="H58" t="s">
        <v>175</v>
      </c>
      <c r="I58" t="s">
        <v>176</v>
      </c>
      <c r="J58" t="s">
        <v>5</v>
      </c>
      <c r="K58" t="s">
        <v>200</v>
      </c>
      <c r="L58" s="6" t="s">
        <v>463</v>
      </c>
      <c r="M58" t="s">
        <v>126</v>
      </c>
      <c r="N58" t="s">
        <v>464</v>
      </c>
      <c r="O58" t="s">
        <v>465</v>
      </c>
      <c r="P58" t="s">
        <v>466</v>
      </c>
      <c r="R58" t="s">
        <v>175</v>
      </c>
      <c r="S58" t="s">
        <v>176</v>
      </c>
      <c r="T58" t="s">
        <v>8</v>
      </c>
      <c r="U58" t="s">
        <v>200</v>
      </c>
      <c r="V58">
        <v>2</v>
      </c>
      <c r="W58" t="s">
        <v>377</v>
      </c>
      <c r="X58" t="s">
        <v>450</v>
      </c>
      <c r="Z58" t="s">
        <v>191</v>
      </c>
      <c r="AB58" t="s">
        <v>467</v>
      </c>
      <c r="AF58">
        <v>45946.833333333299</v>
      </c>
      <c r="AI58" t="s">
        <v>220</v>
      </c>
      <c r="AJ58" t="s">
        <v>345</v>
      </c>
      <c r="AK58" t="s">
        <v>333</v>
      </c>
      <c r="AL58" t="s">
        <v>468</v>
      </c>
      <c r="AM58" t="s">
        <v>188</v>
      </c>
      <c r="AN58" t="s">
        <v>189</v>
      </c>
      <c r="AO58" t="s">
        <v>39</v>
      </c>
      <c r="AP58" t="s">
        <v>43</v>
      </c>
      <c r="AQ58" t="s">
        <v>53</v>
      </c>
      <c r="AR58" t="s">
        <v>190</v>
      </c>
      <c r="AS58" t="s">
        <v>174</v>
      </c>
      <c r="AT58" t="s">
        <v>191</v>
      </c>
    </row>
    <row r="59" spans="1:46" ht="225" x14ac:dyDescent="0.25">
      <c r="A59" s="5">
        <v>46057.376504629632</v>
      </c>
      <c r="B59" t="s">
        <v>469</v>
      </c>
      <c r="C59" t="s">
        <v>173</v>
      </c>
      <c r="D59" t="s">
        <v>174</v>
      </c>
      <c r="E59" t="s">
        <v>325</v>
      </c>
      <c r="H59" t="s">
        <v>175</v>
      </c>
      <c r="I59" t="s">
        <v>176</v>
      </c>
      <c r="J59" t="s">
        <v>5</v>
      </c>
      <c r="K59" t="s">
        <v>200</v>
      </c>
      <c r="L59" s="6" t="s">
        <v>470</v>
      </c>
      <c r="M59" t="s">
        <v>37</v>
      </c>
      <c r="N59" t="s">
        <v>471</v>
      </c>
      <c r="O59" t="s">
        <v>472</v>
      </c>
      <c r="P59" t="s">
        <v>473</v>
      </c>
      <c r="Q59">
        <v>1</v>
      </c>
      <c r="R59" t="s">
        <v>474</v>
      </c>
      <c r="S59" t="s">
        <v>475</v>
      </c>
      <c r="T59" t="s">
        <v>476</v>
      </c>
      <c r="U59" t="s">
        <v>200</v>
      </c>
      <c r="V59">
        <v>98</v>
      </c>
      <c r="W59" t="s">
        <v>477</v>
      </c>
      <c r="X59" t="s">
        <v>478</v>
      </c>
      <c r="Z59" t="s">
        <v>138</v>
      </c>
      <c r="AB59" t="s">
        <v>479</v>
      </c>
      <c r="AF59">
        <v>46019.791666666701</v>
      </c>
      <c r="AI59" t="s">
        <v>480</v>
      </c>
      <c r="AJ59" t="s">
        <v>186</v>
      </c>
      <c r="AK59" t="s">
        <v>333</v>
      </c>
      <c r="AL59" t="s">
        <v>481</v>
      </c>
      <c r="AM59" t="s">
        <v>188</v>
      </c>
      <c r="AN59" t="s">
        <v>189</v>
      </c>
      <c r="AO59" t="s">
        <v>45</v>
      </c>
      <c r="AP59" t="s">
        <v>45</v>
      </c>
      <c r="AQ59" t="s">
        <v>53</v>
      </c>
      <c r="AR59" t="s">
        <v>190</v>
      </c>
      <c r="AS59" t="s">
        <v>174</v>
      </c>
      <c r="AT59" t="s">
        <v>138</v>
      </c>
    </row>
    <row r="60" spans="1:46" ht="225" x14ac:dyDescent="0.25">
      <c r="A60" s="5">
        <v>46057.376504629632</v>
      </c>
      <c r="B60" t="s">
        <v>469</v>
      </c>
      <c r="C60" t="s">
        <v>173</v>
      </c>
      <c r="D60" t="s">
        <v>174</v>
      </c>
      <c r="E60" t="s">
        <v>325</v>
      </c>
      <c r="H60" t="s">
        <v>175</v>
      </c>
      <c r="I60" t="s">
        <v>176</v>
      </c>
      <c r="J60" t="s">
        <v>5</v>
      </c>
      <c r="K60" t="s">
        <v>200</v>
      </c>
      <c r="L60" s="6" t="s">
        <v>470</v>
      </c>
      <c r="M60" t="s">
        <v>37</v>
      </c>
      <c r="N60" t="s">
        <v>471</v>
      </c>
      <c r="O60" t="s">
        <v>472</v>
      </c>
      <c r="P60" t="s">
        <v>473</v>
      </c>
      <c r="Q60">
        <v>2</v>
      </c>
      <c r="R60" t="s">
        <v>175</v>
      </c>
      <c r="S60" t="s">
        <v>176</v>
      </c>
      <c r="T60" t="s">
        <v>5</v>
      </c>
      <c r="U60" t="s">
        <v>200</v>
      </c>
      <c r="V60">
        <v>511</v>
      </c>
      <c r="W60" t="s">
        <v>477</v>
      </c>
      <c r="X60" t="s">
        <v>478</v>
      </c>
      <c r="Z60" t="s">
        <v>138</v>
      </c>
      <c r="AB60" t="s">
        <v>482</v>
      </c>
      <c r="AF60">
        <v>46019.791666666701</v>
      </c>
      <c r="AI60" t="s">
        <v>480</v>
      </c>
      <c r="AJ60" t="s">
        <v>186</v>
      </c>
      <c r="AK60" t="s">
        <v>333</v>
      </c>
      <c r="AL60" t="s">
        <v>481</v>
      </c>
      <c r="AM60" t="s">
        <v>188</v>
      </c>
      <c r="AN60" t="s">
        <v>189</v>
      </c>
      <c r="AO60" t="s">
        <v>45</v>
      </c>
      <c r="AP60" t="s">
        <v>45</v>
      </c>
      <c r="AQ60" t="s">
        <v>53</v>
      </c>
      <c r="AR60" t="s">
        <v>190</v>
      </c>
      <c r="AS60" t="s">
        <v>174</v>
      </c>
      <c r="AT60" t="s">
        <v>138</v>
      </c>
    </row>
    <row r="61" spans="1:46" ht="225" x14ac:dyDescent="0.25">
      <c r="A61" s="5">
        <v>46057.376504629632</v>
      </c>
      <c r="B61" t="s">
        <v>469</v>
      </c>
      <c r="C61" t="s">
        <v>173</v>
      </c>
      <c r="D61" t="s">
        <v>174</v>
      </c>
      <c r="E61" t="s">
        <v>325</v>
      </c>
      <c r="H61" t="s">
        <v>175</v>
      </c>
      <c r="I61" t="s">
        <v>176</v>
      </c>
      <c r="J61" t="s">
        <v>5</v>
      </c>
      <c r="K61" t="s">
        <v>200</v>
      </c>
      <c r="L61" s="6" t="s">
        <v>470</v>
      </c>
      <c r="M61" t="s">
        <v>37</v>
      </c>
      <c r="N61" t="s">
        <v>471</v>
      </c>
      <c r="O61" t="s">
        <v>472</v>
      </c>
      <c r="P61" t="s">
        <v>473</v>
      </c>
      <c r="Q61">
        <v>3</v>
      </c>
      <c r="R61" t="s">
        <v>175</v>
      </c>
      <c r="S61" t="s">
        <v>176</v>
      </c>
      <c r="T61" t="s">
        <v>5</v>
      </c>
      <c r="U61" t="s">
        <v>200</v>
      </c>
      <c r="V61">
        <v>322</v>
      </c>
      <c r="W61" t="s">
        <v>477</v>
      </c>
      <c r="X61" t="s">
        <v>478</v>
      </c>
      <c r="Z61" t="s">
        <v>138</v>
      </c>
      <c r="AB61" t="s">
        <v>483</v>
      </c>
      <c r="AF61">
        <v>46019.791666666701</v>
      </c>
      <c r="AI61" t="s">
        <v>480</v>
      </c>
      <c r="AJ61" t="s">
        <v>186</v>
      </c>
      <c r="AK61" t="s">
        <v>333</v>
      </c>
      <c r="AL61" t="s">
        <v>481</v>
      </c>
      <c r="AM61" t="s">
        <v>188</v>
      </c>
      <c r="AN61" t="s">
        <v>189</v>
      </c>
      <c r="AO61" t="s">
        <v>45</v>
      </c>
      <c r="AP61" t="s">
        <v>45</v>
      </c>
      <c r="AQ61" t="s">
        <v>53</v>
      </c>
      <c r="AR61" t="s">
        <v>190</v>
      </c>
      <c r="AS61" t="s">
        <v>174</v>
      </c>
      <c r="AT61" t="s">
        <v>138</v>
      </c>
    </row>
    <row r="62" spans="1:46" ht="225" x14ac:dyDescent="0.25">
      <c r="A62" s="5">
        <v>46057.376504629632</v>
      </c>
      <c r="B62" t="s">
        <v>469</v>
      </c>
      <c r="C62" t="s">
        <v>173</v>
      </c>
      <c r="D62" t="s">
        <v>174</v>
      </c>
      <c r="E62" t="s">
        <v>325</v>
      </c>
      <c r="H62" t="s">
        <v>175</v>
      </c>
      <c r="I62" t="s">
        <v>176</v>
      </c>
      <c r="J62" t="s">
        <v>5</v>
      </c>
      <c r="K62" t="s">
        <v>200</v>
      </c>
      <c r="L62" s="6" t="s">
        <v>470</v>
      </c>
      <c r="M62" t="s">
        <v>37</v>
      </c>
      <c r="N62" t="s">
        <v>471</v>
      </c>
      <c r="O62" t="s">
        <v>472</v>
      </c>
      <c r="P62" t="s">
        <v>473</v>
      </c>
      <c r="Q62">
        <v>4</v>
      </c>
      <c r="R62" t="s">
        <v>175</v>
      </c>
      <c r="S62" t="s">
        <v>176</v>
      </c>
      <c r="T62" t="s">
        <v>5</v>
      </c>
      <c r="U62" t="s">
        <v>200</v>
      </c>
      <c r="V62">
        <v>182</v>
      </c>
      <c r="W62" t="s">
        <v>477</v>
      </c>
      <c r="X62" t="s">
        <v>478</v>
      </c>
      <c r="Z62" t="s">
        <v>138</v>
      </c>
      <c r="AB62" t="s">
        <v>484</v>
      </c>
      <c r="AF62">
        <v>46019.791666666701</v>
      </c>
      <c r="AI62" t="s">
        <v>480</v>
      </c>
      <c r="AJ62" t="s">
        <v>186</v>
      </c>
      <c r="AK62" t="s">
        <v>333</v>
      </c>
      <c r="AL62" t="s">
        <v>481</v>
      </c>
      <c r="AM62" t="s">
        <v>188</v>
      </c>
      <c r="AN62" t="s">
        <v>189</v>
      </c>
      <c r="AO62" t="s">
        <v>45</v>
      </c>
      <c r="AP62" t="s">
        <v>45</v>
      </c>
      <c r="AQ62" t="s">
        <v>53</v>
      </c>
      <c r="AR62" t="s">
        <v>190</v>
      </c>
      <c r="AS62" t="s">
        <v>174</v>
      </c>
      <c r="AT62" t="s">
        <v>138</v>
      </c>
    </row>
    <row r="63" spans="1:46" ht="225" x14ac:dyDescent="0.25">
      <c r="A63" s="5">
        <v>46057.376504629632</v>
      </c>
      <c r="B63" t="s">
        <v>469</v>
      </c>
      <c r="C63" t="s">
        <v>173</v>
      </c>
      <c r="D63" t="s">
        <v>174</v>
      </c>
      <c r="E63" t="s">
        <v>325</v>
      </c>
      <c r="H63" t="s">
        <v>175</v>
      </c>
      <c r="I63" t="s">
        <v>176</v>
      </c>
      <c r="J63" t="s">
        <v>5</v>
      </c>
      <c r="K63" t="s">
        <v>200</v>
      </c>
      <c r="L63" s="6" t="s">
        <v>470</v>
      </c>
      <c r="M63" t="s">
        <v>37</v>
      </c>
      <c r="N63" t="s">
        <v>471</v>
      </c>
      <c r="O63" t="s">
        <v>472</v>
      </c>
      <c r="P63" t="s">
        <v>473</v>
      </c>
      <c r="Q63">
        <v>5</v>
      </c>
      <c r="R63" t="s">
        <v>175</v>
      </c>
      <c r="S63" t="s">
        <v>176</v>
      </c>
      <c r="T63" t="s">
        <v>11</v>
      </c>
      <c r="U63" t="s">
        <v>200</v>
      </c>
      <c r="V63">
        <v>22</v>
      </c>
      <c r="W63" t="s">
        <v>477</v>
      </c>
      <c r="X63" t="s">
        <v>478</v>
      </c>
      <c r="Z63" t="s">
        <v>138</v>
      </c>
      <c r="AB63" t="s">
        <v>485</v>
      </c>
      <c r="AF63">
        <v>46019.791666666701</v>
      </c>
      <c r="AI63" t="s">
        <v>480</v>
      </c>
      <c r="AJ63" t="s">
        <v>186</v>
      </c>
      <c r="AK63" t="s">
        <v>333</v>
      </c>
      <c r="AL63" t="s">
        <v>481</v>
      </c>
      <c r="AM63" t="s">
        <v>188</v>
      </c>
      <c r="AN63" t="s">
        <v>189</v>
      </c>
      <c r="AO63" t="s">
        <v>45</v>
      </c>
      <c r="AP63" t="s">
        <v>45</v>
      </c>
      <c r="AQ63" t="s">
        <v>53</v>
      </c>
      <c r="AR63" t="s">
        <v>190</v>
      </c>
      <c r="AS63" t="s">
        <v>174</v>
      </c>
      <c r="AT63" t="s">
        <v>138</v>
      </c>
    </row>
    <row r="64" spans="1:46" ht="135" x14ac:dyDescent="0.25">
      <c r="A64" s="5">
        <v>46057.565717592595</v>
      </c>
      <c r="B64" t="s">
        <v>486</v>
      </c>
      <c r="C64" t="s">
        <v>173</v>
      </c>
      <c r="D64" t="s">
        <v>174</v>
      </c>
      <c r="E64" t="s">
        <v>147</v>
      </c>
      <c r="H64" t="s">
        <v>175</v>
      </c>
      <c r="I64" t="s">
        <v>176</v>
      </c>
      <c r="J64" t="s">
        <v>5</v>
      </c>
      <c r="K64" t="s">
        <v>200</v>
      </c>
      <c r="L64" s="6" t="s">
        <v>487</v>
      </c>
      <c r="M64" t="s">
        <v>88</v>
      </c>
      <c r="N64" t="s">
        <v>488</v>
      </c>
      <c r="O64" t="s">
        <v>489</v>
      </c>
      <c r="P64" t="s">
        <v>490</v>
      </c>
      <c r="R64" t="s">
        <v>175</v>
      </c>
      <c r="S64" t="s">
        <v>176</v>
      </c>
      <c r="T64" t="s">
        <v>5</v>
      </c>
      <c r="U64" t="s">
        <v>200</v>
      </c>
      <c r="V64">
        <v>1</v>
      </c>
      <c r="W64" t="s">
        <v>182</v>
      </c>
      <c r="X64" t="s">
        <v>183</v>
      </c>
      <c r="Z64" t="s">
        <v>184</v>
      </c>
      <c r="AB64" t="s">
        <v>491</v>
      </c>
      <c r="AF64">
        <v>46026.791666666701</v>
      </c>
      <c r="AI64" t="s">
        <v>220</v>
      </c>
      <c r="AJ64" t="s">
        <v>186</v>
      </c>
      <c r="AK64" t="s">
        <v>492</v>
      </c>
      <c r="AL64" t="s">
        <v>493</v>
      </c>
      <c r="AM64" t="s">
        <v>188</v>
      </c>
      <c r="AN64" t="s">
        <v>189</v>
      </c>
      <c r="AO64" t="s">
        <v>6</v>
      </c>
      <c r="AP64" t="s">
        <v>9</v>
      </c>
      <c r="AQ64" t="s">
        <v>53</v>
      </c>
      <c r="AR64" t="s">
        <v>190</v>
      </c>
      <c r="AS64" t="s">
        <v>174</v>
      </c>
      <c r="AT64" t="s">
        <v>191</v>
      </c>
    </row>
    <row r="65" spans="1:46" ht="105" x14ac:dyDescent="0.25">
      <c r="A65" s="5">
        <v>46078.63071759259</v>
      </c>
      <c r="B65" t="s">
        <v>494</v>
      </c>
      <c r="C65" t="s">
        <v>173</v>
      </c>
      <c r="D65" t="s">
        <v>174</v>
      </c>
      <c r="E65" t="s">
        <v>147</v>
      </c>
      <c r="H65" t="s">
        <v>175</v>
      </c>
      <c r="I65" t="s">
        <v>176</v>
      </c>
      <c r="J65" t="s">
        <v>5</v>
      </c>
      <c r="K65" t="s">
        <v>177</v>
      </c>
      <c r="L65" s="6" t="s">
        <v>495</v>
      </c>
      <c r="M65" t="s">
        <v>21</v>
      </c>
      <c r="N65" t="s">
        <v>496</v>
      </c>
      <c r="O65" t="s">
        <v>497</v>
      </c>
      <c r="P65" t="s">
        <v>498</v>
      </c>
      <c r="R65" t="s">
        <v>175</v>
      </c>
      <c r="S65" t="s">
        <v>176</v>
      </c>
      <c r="T65" t="s">
        <v>5</v>
      </c>
      <c r="U65" t="s">
        <v>177</v>
      </c>
      <c r="V65">
        <v>1</v>
      </c>
      <c r="W65" t="s">
        <v>182</v>
      </c>
      <c r="X65" t="s">
        <v>183</v>
      </c>
      <c r="Z65" t="s">
        <v>184</v>
      </c>
      <c r="AF65">
        <v>46013.791666666701</v>
      </c>
      <c r="AI65" t="s">
        <v>185</v>
      </c>
      <c r="AJ65" t="s">
        <v>186</v>
      </c>
      <c r="AK65" t="s">
        <v>187</v>
      </c>
      <c r="AL65" t="s">
        <v>187</v>
      </c>
      <c r="AM65" t="s">
        <v>188</v>
      </c>
      <c r="AN65" t="s">
        <v>189</v>
      </c>
      <c r="AO65" t="s">
        <v>6</v>
      </c>
      <c r="AP65" t="s">
        <v>9</v>
      </c>
      <c r="AQ65" t="s">
        <v>53</v>
      </c>
      <c r="AR65" t="s">
        <v>190</v>
      </c>
      <c r="AS65" t="s">
        <v>174</v>
      </c>
      <c r="AT65" t="s">
        <v>191</v>
      </c>
    </row>
    <row r="66" spans="1:46" ht="105" x14ac:dyDescent="0.25">
      <c r="A66" s="5">
        <v>46076.570914351854</v>
      </c>
      <c r="B66" t="s">
        <v>499</v>
      </c>
      <c r="C66" t="s">
        <v>173</v>
      </c>
      <c r="D66" t="s">
        <v>174</v>
      </c>
      <c r="E66" t="s">
        <v>147</v>
      </c>
      <c r="H66" t="s">
        <v>175</v>
      </c>
      <c r="I66" t="s">
        <v>176</v>
      </c>
      <c r="J66" t="s">
        <v>5</v>
      </c>
      <c r="K66" t="s">
        <v>177</v>
      </c>
      <c r="L66" s="6" t="s">
        <v>500</v>
      </c>
      <c r="M66" t="s">
        <v>7</v>
      </c>
      <c r="N66" t="s">
        <v>501</v>
      </c>
      <c r="O66" t="s">
        <v>502</v>
      </c>
      <c r="P66" t="s">
        <v>503</v>
      </c>
      <c r="R66" t="s">
        <v>175</v>
      </c>
      <c r="S66" t="s">
        <v>176</v>
      </c>
      <c r="T66" t="s">
        <v>5</v>
      </c>
      <c r="U66" t="s">
        <v>177</v>
      </c>
      <c r="V66">
        <v>1</v>
      </c>
      <c r="W66" t="s">
        <v>182</v>
      </c>
      <c r="X66" t="s">
        <v>183</v>
      </c>
      <c r="Z66" t="s">
        <v>184</v>
      </c>
      <c r="AF66">
        <v>45999.791666666701</v>
      </c>
      <c r="AI66" t="s">
        <v>185</v>
      </c>
      <c r="AJ66" t="s">
        <v>186</v>
      </c>
      <c r="AK66" t="s">
        <v>187</v>
      </c>
      <c r="AL66" t="s">
        <v>187</v>
      </c>
      <c r="AM66" t="s">
        <v>188</v>
      </c>
      <c r="AN66" t="s">
        <v>189</v>
      </c>
      <c r="AO66" t="s">
        <v>6</v>
      </c>
      <c r="AP66" t="s">
        <v>9</v>
      </c>
      <c r="AQ66" t="s">
        <v>53</v>
      </c>
      <c r="AR66" t="s">
        <v>190</v>
      </c>
      <c r="AS66" t="s">
        <v>174</v>
      </c>
      <c r="AT66" t="s">
        <v>191</v>
      </c>
    </row>
    <row r="67" spans="1:46" ht="105" x14ac:dyDescent="0.25">
      <c r="A67" s="5">
        <v>46076.576979166668</v>
      </c>
      <c r="B67" t="s">
        <v>504</v>
      </c>
      <c r="C67" t="s">
        <v>173</v>
      </c>
      <c r="D67" t="s">
        <v>174</v>
      </c>
      <c r="E67" t="s">
        <v>147</v>
      </c>
      <c r="H67" t="s">
        <v>175</v>
      </c>
      <c r="I67" t="s">
        <v>176</v>
      </c>
      <c r="J67" t="s">
        <v>5</v>
      </c>
      <c r="K67" t="s">
        <v>177</v>
      </c>
      <c r="L67" s="6" t="s">
        <v>505</v>
      </c>
      <c r="M67" t="s">
        <v>7</v>
      </c>
      <c r="N67" t="s">
        <v>506</v>
      </c>
      <c r="O67" t="s">
        <v>507</v>
      </c>
      <c r="P67" t="s">
        <v>508</v>
      </c>
      <c r="R67" t="s">
        <v>175</v>
      </c>
      <c r="S67" t="s">
        <v>176</v>
      </c>
      <c r="T67" t="s">
        <v>5</v>
      </c>
      <c r="U67" t="s">
        <v>177</v>
      </c>
      <c r="V67">
        <v>1</v>
      </c>
      <c r="W67" t="s">
        <v>182</v>
      </c>
      <c r="X67" t="s">
        <v>183</v>
      </c>
      <c r="Z67" t="s">
        <v>184</v>
      </c>
      <c r="AF67">
        <v>46000.791666666701</v>
      </c>
      <c r="AI67" t="s">
        <v>185</v>
      </c>
      <c r="AJ67" t="s">
        <v>186</v>
      </c>
      <c r="AK67" t="s">
        <v>187</v>
      </c>
      <c r="AL67" t="s">
        <v>187</v>
      </c>
      <c r="AM67" t="s">
        <v>188</v>
      </c>
      <c r="AN67" t="s">
        <v>189</v>
      </c>
      <c r="AO67" t="s">
        <v>6</v>
      </c>
      <c r="AP67" t="s">
        <v>9</v>
      </c>
      <c r="AQ67" t="s">
        <v>53</v>
      </c>
      <c r="AR67" t="s">
        <v>190</v>
      </c>
      <c r="AS67" t="s">
        <v>174</v>
      </c>
      <c r="AT67" t="s">
        <v>191</v>
      </c>
    </row>
    <row r="68" spans="1:46" ht="105" x14ac:dyDescent="0.25">
      <c r="A68" s="5">
        <v>46076.581967592596</v>
      </c>
      <c r="B68" t="s">
        <v>509</v>
      </c>
      <c r="C68" t="s">
        <v>173</v>
      </c>
      <c r="D68" t="s">
        <v>174</v>
      </c>
      <c r="E68" t="s">
        <v>147</v>
      </c>
      <c r="H68" t="s">
        <v>175</v>
      </c>
      <c r="I68" t="s">
        <v>176</v>
      </c>
      <c r="J68" t="s">
        <v>5</v>
      </c>
      <c r="K68" t="s">
        <v>177</v>
      </c>
      <c r="L68" s="6" t="s">
        <v>510</v>
      </c>
      <c r="M68" t="s">
        <v>7</v>
      </c>
      <c r="N68" t="s">
        <v>511</v>
      </c>
      <c r="O68" t="s">
        <v>512</v>
      </c>
      <c r="P68" t="s">
        <v>513</v>
      </c>
      <c r="R68" t="s">
        <v>175</v>
      </c>
      <c r="S68" t="s">
        <v>176</v>
      </c>
      <c r="T68" t="s">
        <v>5</v>
      </c>
      <c r="U68" t="s">
        <v>177</v>
      </c>
      <c r="V68">
        <v>1</v>
      </c>
      <c r="W68" t="s">
        <v>182</v>
      </c>
      <c r="X68" t="s">
        <v>183</v>
      </c>
      <c r="Z68" t="s">
        <v>184</v>
      </c>
      <c r="AF68">
        <v>45999.791666666701</v>
      </c>
      <c r="AI68" t="s">
        <v>185</v>
      </c>
      <c r="AJ68" t="s">
        <v>186</v>
      </c>
      <c r="AK68" t="s">
        <v>187</v>
      </c>
      <c r="AL68" t="s">
        <v>187</v>
      </c>
      <c r="AM68" t="s">
        <v>188</v>
      </c>
      <c r="AN68" t="s">
        <v>189</v>
      </c>
      <c r="AO68" t="s">
        <v>6</v>
      </c>
      <c r="AP68" t="s">
        <v>9</v>
      </c>
      <c r="AQ68" t="s">
        <v>53</v>
      </c>
      <c r="AR68" t="s">
        <v>190</v>
      </c>
      <c r="AS68" t="s">
        <v>174</v>
      </c>
      <c r="AT68" t="s">
        <v>191</v>
      </c>
    </row>
    <row r="69" spans="1:46" ht="105" x14ac:dyDescent="0.25">
      <c r="A69" s="5">
        <v>46076.586863425924</v>
      </c>
      <c r="B69" t="s">
        <v>514</v>
      </c>
      <c r="C69" t="s">
        <v>173</v>
      </c>
      <c r="D69" t="s">
        <v>174</v>
      </c>
      <c r="E69" t="s">
        <v>147</v>
      </c>
      <c r="H69" t="s">
        <v>175</v>
      </c>
      <c r="I69" t="s">
        <v>176</v>
      </c>
      <c r="J69" t="s">
        <v>5</v>
      </c>
      <c r="K69" t="s">
        <v>177</v>
      </c>
      <c r="L69" s="6" t="s">
        <v>515</v>
      </c>
      <c r="M69" t="s">
        <v>7</v>
      </c>
      <c r="N69" t="s">
        <v>516</v>
      </c>
      <c r="O69" t="s">
        <v>517</v>
      </c>
      <c r="P69" t="s">
        <v>518</v>
      </c>
      <c r="R69" t="s">
        <v>175</v>
      </c>
      <c r="S69" t="s">
        <v>176</v>
      </c>
      <c r="T69" t="s">
        <v>5</v>
      </c>
      <c r="U69" t="s">
        <v>177</v>
      </c>
      <c r="V69">
        <v>1</v>
      </c>
      <c r="W69" t="s">
        <v>182</v>
      </c>
      <c r="X69" t="s">
        <v>183</v>
      </c>
      <c r="Z69" t="s">
        <v>184</v>
      </c>
      <c r="AF69">
        <v>46007.791666666701</v>
      </c>
      <c r="AI69" t="s">
        <v>185</v>
      </c>
      <c r="AJ69" t="s">
        <v>186</v>
      </c>
      <c r="AK69" t="s">
        <v>187</v>
      </c>
      <c r="AL69" t="s">
        <v>187</v>
      </c>
      <c r="AM69" t="s">
        <v>188</v>
      </c>
      <c r="AN69" t="s">
        <v>189</v>
      </c>
      <c r="AO69" t="s">
        <v>6</v>
      </c>
      <c r="AP69" t="s">
        <v>9</v>
      </c>
      <c r="AQ69" t="s">
        <v>53</v>
      </c>
      <c r="AR69" t="s">
        <v>190</v>
      </c>
      <c r="AS69" t="s">
        <v>174</v>
      </c>
      <c r="AT69" t="s">
        <v>191</v>
      </c>
    </row>
    <row r="70" spans="1:46" ht="105" x14ac:dyDescent="0.25">
      <c r="A70" s="5">
        <v>46076.601701388892</v>
      </c>
      <c r="B70" t="s">
        <v>519</v>
      </c>
      <c r="C70" t="s">
        <v>173</v>
      </c>
      <c r="D70" t="s">
        <v>174</v>
      </c>
      <c r="E70" t="s">
        <v>147</v>
      </c>
      <c r="H70" t="s">
        <v>175</v>
      </c>
      <c r="I70" t="s">
        <v>176</v>
      </c>
      <c r="J70" t="s">
        <v>5</v>
      </c>
      <c r="K70" t="s">
        <v>177</v>
      </c>
      <c r="L70" s="6" t="s">
        <v>520</v>
      </c>
      <c r="M70" t="s">
        <v>7</v>
      </c>
      <c r="N70" t="s">
        <v>521</v>
      </c>
      <c r="O70" t="s">
        <v>522</v>
      </c>
      <c r="P70" t="s">
        <v>523</v>
      </c>
      <c r="R70" t="s">
        <v>175</v>
      </c>
      <c r="S70" t="s">
        <v>176</v>
      </c>
      <c r="T70" t="s">
        <v>5</v>
      </c>
      <c r="U70" t="s">
        <v>177</v>
      </c>
      <c r="V70">
        <v>1</v>
      </c>
      <c r="W70" t="s">
        <v>182</v>
      </c>
      <c r="X70" t="s">
        <v>183</v>
      </c>
      <c r="Z70" t="s">
        <v>184</v>
      </c>
      <c r="AF70">
        <v>45999.791666666701</v>
      </c>
      <c r="AI70" t="s">
        <v>185</v>
      </c>
      <c r="AJ70" t="s">
        <v>186</v>
      </c>
      <c r="AK70" t="s">
        <v>187</v>
      </c>
      <c r="AL70" t="s">
        <v>187</v>
      </c>
      <c r="AM70" t="s">
        <v>188</v>
      </c>
      <c r="AN70" t="s">
        <v>189</v>
      </c>
      <c r="AO70" t="s">
        <v>6</v>
      </c>
      <c r="AP70" t="s">
        <v>9</v>
      </c>
      <c r="AQ70" t="s">
        <v>53</v>
      </c>
      <c r="AR70" t="s">
        <v>190</v>
      </c>
      <c r="AS70" t="s">
        <v>174</v>
      </c>
      <c r="AT70" t="s">
        <v>191</v>
      </c>
    </row>
    <row r="71" spans="1:46" ht="105" x14ac:dyDescent="0.25">
      <c r="A71" s="5">
        <v>46070.670173611114</v>
      </c>
      <c r="B71" t="s">
        <v>524</v>
      </c>
      <c r="C71" t="s">
        <v>173</v>
      </c>
      <c r="D71" t="s">
        <v>174</v>
      </c>
      <c r="E71" t="s">
        <v>147</v>
      </c>
      <c r="H71" t="s">
        <v>175</v>
      </c>
      <c r="I71" t="s">
        <v>176</v>
      </c>
      <c r="J71" t="s">
        <v>5</v>
      </c>
      <c r="K71" t="s">
        <v>177</v>
      </c>
      <c r="L71" s="6" t="s">
        <v>525</v>
      </c>
      <c r="M71" t="s">
        <v>7</v>
      </c>
      <c r="N71" t="s">
        <v>526</v>
      </c>
      <c r="O71" t="s">
        <v>527</v>
      </c>
      <c r="P71" t="s">
        <v>528</v>
      </c>
      <c r="R71" t="s">
        <v>175</v>
      </c>
      <c r="S71" t="s">
        <v>176</v>
      </c>
      <c r="T71" t="s">
        <v>5</v>
      </c>
      <c r="U71" t="s">
        <v>177</v>
      </c>
      <c r="V71">
        <v>1</v>
      </c>
      <c r="W71" t="s">
        <v>182</v>
      </c>
      <c r="X71" t="s">
        <v>183</v>
      </c>
      <c r="Z71" t="s">
        <v>184</v>
      </c>
      <c r="AF71">
        <v>46007.791666666701</v>
      </c>
      <c r="AI71" t="s">
        <v>185</v>
      </c>
      <c r="AJ71" t="s">
        <v>186</v>
      </c>
      <c r="AK71" t="s">
        <v>187</v>
      </c>
      <c r="AL71" t="s">
        <v>187</v>
      </c>
      <c r="AM71" t="s">
        <v>188</v>
      </c>
      <c r="AN71" t="s">
        <v>189</v>
      </c>
      <c r="AO71" t="s">
        <v>6</v>
      </c>
      <c r="AP71" t="s">
        <v>9</v>
      </c>
      <c r="AQ71" t="s">
        <v>53</v>
      </c>
      <c r="AR71" t="s">
        <v>190</v>
      </c>
      <c r="AS71" t="s">
        <v>174</v>
      </c>
      <c r="AT71" t="s">
        <v>191</v>
      </c>
    </row>
    <row r="72" spans="1:46" ht="105" x14ac:dyDescent="0.25">
      <c r="A72" s="5">
        <v>46070.665277777778</v>
      </c>
      <c r="B72" t="s">
        <v>529</v>
      </c>
      <c r="C72" t="s">
        <v>173</v>
      </c>
      <c r="D72" t="s">
        <v>174</v>
      </c>
      <c r="E72" t="s">
        <v>147</v>
      </c>
      <c r="H72" t="s">
        <v>175</v>
      </c>
      <c r="I72" t="s">
        <v>176</v>
      </c>
      <c r="J72" t="s">
        <v>5</v>
      </c>
      <c r="K72" t="s">
        <v>177</v>
      </c>
      <c r="L72" s="6" t="s">
        <v>530</v>
      </c>
      <c r="M72" t="s">
        <v>7</v>
      </c>
      <c r="N72" t="s">
        <v>531</v>
      </c>
      <c r="O72" t="s">
        <v>532</v>
      </c>
      <c r="P72" t="s">
        <v>533</v>
      </c>
      <c r="R72" t="s">
        <v>175</v>
      </c>
      <c r="S72" t="s">
        <v>176</v>
      </c>
      <c r="T72" t="s">
        <v>5</v>
      </c>
      <c r="U72" t="s">
        <v>177</v>
      </c>
      <c r="V72">
        <v>1</v>
      </c>
      <c r="W72" t="s">
        <v>182</v>
      </c>
      <c r="X72" t="s">
        <v>183</v>
      </c>
      <c r="Z72" t="s">
        <v>184</v>
      </c>
      <c r="AF72">
        <v>46002.791666666701</v>
      </c>
      <c r="AI72" t="s">
        <v>185</v>
      </c>
      <c r="AJ72" t="s">
        <v>186</v>
      </c>
      <c r="AK72" t="s">
        <v>187</v>
      </c>
      <c r="AL72" t="s">
        <v>187</v>
      </c>
      <c r="AM72" t="s">
        <v>188</v>
      </c>
      <c r="AN72" t="s">
        <v>189</v>
      </c>
      <c r="AO72" t="s">
        <v>6</v>
      </c>
      <c r="AP72" t="s">
        <v>9</v>
      </c>
      <c r="AQ72" t="s">
        <v>53</v>
      </c>
      <c r="AR72" t="s">
        <v>190</v>
      </c>
      <c r="AS72" t="s">
        <v>174</v>
      </c>
      <c r="AT72" t="s">
        <v>191</v>
      </c>
    </row>
    <row r="73" spans="1:46" ht="105" x14ac:dyDescent="0.25">
      <c r="A73" s="5">
        <v>46070.661400462966</v>
      </c>
      <c r="B73" t="s">
        <v>534</v>
      </c>
      <c r="C73" t="s">
        <v>173</v>
      </c>
      <c r="D73" t="s">
        <v>174</v>
      </c>
      <c r="E73" t="s">
        <v>147</v>
      </c>
      <c r="H73" t="s">
        <v>175</v>
      </c>
      <c r="I73" t="s">
        <v>176</v>
      </c>
      <c r="J73" t="s">
        <v>5</v>
      </c>
      <c r="K73" t="s">
        <v>177</v>
      </c>
      <c r="L73" s="6" t="s">
        <v>535</v>
      </c>
      <c r="M73" t="s">
        <v>7</v>
      </c>
      <c r="N73" t="s">
        <v>536</v>
      </c>
      <c r="O73" t="s">
        <v>537</v>
      </c>
      <c r="P73" t="s">
        <v>538</v>
      </c>
      <c r="R73" t="s">
        <v>175</v>
      </c>
      <c r="S73" t="s">
        <v>176</v>
      </c>
      <c r="T73" t="s">
        <v>5</v>
      </c>
      <c r="U73" t="s">
        <v>177</v>
      </c>
      <c r="V73">
        <v>1</v>
      </c>
      <c r="W73" t="s">
        <v>182</v>
      </c>
      <c r="X73" t="s">
        <v>183</v>
      </c>
      <c r="Z73" t="s">
        <v>184</v>
      </c>
      <c r="AF73">
        <v>45999.791666666701</v>
      </c>
      <c r="AI73" t="s">
        <v>185</v>
      </c>
      <c r="AJ73" t="s">
        <v>186</v>
      </c>
      <c r="AK73" t="s">
        <v>187</v>
      </c>
      <c r="AL73" t="s">
        <v>187</v>
      </c>
      <c r="AM73" t="s">
        <v>188</v>
      </c>
      <c r="AN73" t="s">
        <v>189</v>
      </c>
      <c r="AO73" t="s">
        <v>6</v>
      </c>
      <c r="AP73" t="s">
        <v>9</v>
      </c>
      <c r="AQ73" t="s">
        <v>53</v>
      </c>
      <c r="AR73" t="s">
        <v>190</v>
      </c>
      <c r="AS73" t="s">
        <v>174</v>
      </c>
      <c r="AT73" t="s">
        <v>191</v>
      </c>
    </row>
    <row r="74" spans="1:46" ht="105" x14ac:dyDescent="0.25">
      <c r="A74" s="5">
        <v>46070.656990740739</v>
      </c>
      <c r="B74" t="s">
        <v>539</v>
      </c>
      <c r="C74" t="s">
        <v>173</v>
      </c>
      <c r="D74" t="s">
        <v>174</v>
      </c>
      <c r="E74" t="s">
        <v>147</v>
      </c>
      <c r="H74" t="s">
        <v>175</v>
      </c>
      <c r="I74" t="s">
        <v>176</v>
      </c>
      <c r="J74" t="s">
        <v>5</v>
      </c>
      <c r="K74" t="s">
        <v>177</v>
      </c>
      <c r="L74" s="6" t="s">
        <v>540</v>
      </c>
      <c r="M74" t="s">
        <v>7</v>
      </c>
      <c r="N74" t="s">
        <v>541</v>
      </c>
      <c r="O74" t="s">
        <v>542</v>
      </c>
      <c r="P74" t="s">
        <v>543</v>
      </c>
      <c r="R74" t="s">
        <v>175</v>
      </c>
      <c r="S74" t="s">
        <v>176</v>
      </c>
      <c r="T74" t="s">
        <v>5</v>
      </c>
      <c r="U74" t="s">
        <v>177</v>
      </c>
      <c r="V74">
        <v>1</v>
      </c>
      <c r="W74" t="s">
        <v>182</v>
      </c>
      <c r="X74" t="s">
        <v>183</v>
      </c>
      <c r="Z74" t="s">
        <v>184</v>
      </c>
      <c r="AF74">
        <v>45998.791666666701</v>
      </c>
      <c r="AI74" t="s">
        <v>185</v>
      </c>
      <c r="AJ74" t="s">
        <v>186</v>
      </c>
      <c r="AK74" t="s">
        <v>187</v>
      </c>
      <c r="AL74" t="s">
        <v>187</v>
      </c>
      <c r="AM74" t="s">
        <v>188</v>
      </c>
      <c r="AN74" t="s">
        <v>189</v>
      </c>
      <c r="AO74" t="s">
        <v>6</v>
      </c>
      <c r="AP74" t="s">
        <v>9</v>
      </c>
      <c r="AQ74" t="s">
        <v>53</v>
      </c>
      <c r="AR74" t="s">
        <v>190</v>
      </c>
      <c r="AS74" t="s">
        <v>174</v>
      </c>
      <c r="AT74" t="s">
        <v>191</v>
      </c>
    </row>
    <row r="75" spans="1:46" ht="105" x14ac:dyDescent="0.25">
      <c r="A75" s="5">
        <v>46070.652719907404</v>
      </c>
      <c r="B75" t="s">
        <v>544</v>
      </c>
      <c r="C75" t="s">
        <v>173</v>
      </c>
      <c r="D75" t="s">
        <v>174</v>
      </c>
      <c r="E75" t="s">
        <v>147</v>
      </c>
      <c r="H75" t="s">
        <v>175</v>
      </c>
      <c r="I75" t="s">
        <v>176</v>
      </c>
      <c r="J75" t="s">
        <v>5</v>
      </c>
      <c r="K75" t="s">
        <v>177</v>
      </c>
      <c r="L75" s="6" t="s">
        <v>545</v>
      </c>
      <c r="M75" t="s">
        <v>7</v>
      </c>
      <c r="N75" t="s">
        <v>546</v>
      </c>
      <c r="O75" t="s">
        <v>547</v>
      </c>
      <c r="P75" t="s">
        <v>548</v>
      </c>
      <c r="R75" t="s">
        <v>175</v>
      </c>
      <c r="S75" t="s">
        <v>176</v>
      </c>
      <c r="T75" t="s">
        <v>5</v>
      </c>
      <c r="U75" t="s">
        <v>177</v>
      </c>
      <c r="V75">
        <v>1</v>
      </c>
      <c r="W75" t="s">
        <v>182</v>
      </c>
      <c r="X75" t="s">
        <v>183</v>
      </c>
      <c r="Z75" t="s">
        <v>184</v>
      </c>
      <c r="AF75">
        <v>45998.791666666701</v>
      </c>
      <c r="AI75" t="s">
        <v>185</v>
      </c>
      <c r="AJ75" t="s">
        <v>186</v>
      </c>
      <c r="AK75" t="s">
        <v>187</v>
      </c>
      <c r="AL75" t="s">
        <v>187</v>
      </c>
      <c r="AM75" t="s">
        <v>188</v>
      </c>
      <c r="AN75" t="s">
        <v>189</v>
      </c>
      <c r="AO75" t="s">
        <v>6</v>
      </c>
      <c r="AP75" t="s">
        <v>9</v>
      </c>
      <c r="AQ75" t="s">
        <v>53</v>
      </c>
      <c r="AR75" t="s">
        <v>190</v>
      </c>
      <c r="AS75" t="s">
        <v>174</v>
      </c>
      <c r="AT75" t="s">
        <v>191</v>
      </c>
    </row>
    <row r="76" spans="1:46" ht="105" x14ac:dyDescent="0.25">
      <c r="A76" s="5">
        <v>46070.644560185188</v>
      </c>
      <c r="B76" t="s">
        <v>549</v>
      </c>
      <c r="C76" t="s">
        <v>173</v>
      </c>
      <c r="D76" t="s">
        <v>174</v>
      </c>
      <c r="E76" t="s">
        <v>147</v>
      </c>
      <c r="H76" t="s">
        <v>175</v>
      </c>
      <c r="I76" t="s">
        <v>176</v>
      </c>
      <c r="J76" t="s">
        <v>5</v>
      </c>
      <c r="K76" t="s">
        <v>177</v>
      </c>
      <c r="L76" s="6" t="s">
        <v>550</v>
      </c>
      <c r="M76" t="s">
        <v>7</v>
      </c>
      <c r="N76" t="s">
        <v>551</v>
      </c>
      <c r="O76" t="s">
        <v>552</v>
      </c>
      <c r="P76" t="s">
        <v>553</v>
      </c>
      <c r="R76" t="s">
        <v>175</v>
      </c>
      <c r="S76" t="s">
        <v>176</v>
      </c>
      <c r="T76" t="s">
        <v>5</v>
      </c>
      <c r="U76" t="s">
        <v>177</v>
      </c>
      <c r="V76">
        <v>1</v>
      </c>
      <c r="W76" t="s">
        <v>182</v>
      </c>
      <c r="X76" t="s">
        <v>183</v>
      </c>
      <c r="Z76" t="s">
        <v>184</v>
      </c>
      <c r="AF76">
        <v>45995.791666666701</v>
      </c>
      <c r="AI76" t="s">
        <v>185</v>
      </c>
      <c r="AJ76" t="s">
        <v>186</v>
      </c>
      <c r="AK76" t="s">
        <v>187</v>
      </c>
      <c r="AL76" t="s">
        <v>187</v>
      </c>
      <c r="AM76" t="s">
        <v>188</v>
      </c>
      <c r="AN76" t="s">
        <v>189</v>
      </c>
      <c r="AO76" t="s">
        <v>6</v>
      </c>
      <c r="AP76" t="s">
        <v>9</v>
      </c>
      <c r="AQ76" t="s">
        <v>53</v>
      </c>
      <c r="AR76" t="s">
        <v>190</v>
      </c>
      <c r="AS76" t="s">
        <v>174</v>
      </c>
      <c r="AT76" t="s">
        <v>191</v>
      </c>
    </row>
    <row r="77" spans="1:46" ht="105" x14ac:dyDescent="0.25">
      <c r="A77" s="5">
        <v>46070.640567129631</v>
      </c>
      <c r="B77" t="s">
        <v>554</v>
      </c>
      <c r="C77" t="s">
        <v>173</v>
      </c>
      <c r="D77" t="s">
        <v>174</v>
      </c>
      <c r="E77" t="s">
        <v>147</v>
      </c>
      <c r="H77" t="s">
        <v>175</v>
      </c>
      <c r="I77" t="s">
        <v>176</v>
      </c>
      <c r="J77" t="s">
        <v>5</v>
      </c>
      <c r="K77" t="s">
        <v>177</v>
      </c>
      <c r="L77" s="6" t="s">
        <v>555</v>
      </c>
      <c r="M77" t="s">
        <v>7</v>
      </c>
      <c r="N77" t="s">
        <v>556</v>
      </c>
      <c r="O77" t="s">
        <v>557</v>
      </c>
      <c r="P77" t="s">
        <v>558</v>
      </c>
      <c r="R77" t="s">
        <v>175</v>
      </c>
      <c r="S77" t="s">
        <v>176</v>
      </c>
      <c r="T77" t="s">
        <v>5</v>
      </c>
      <c r="U77" t="s">
        <v>177</v>
      </c>
      <c r="V77">
        <v>1</v>
      </c>
      <c r="W77" t="s">
        <v>182</v>
      </c>
      <c r="X77" t="s">
        <v>183</v>
      </c>
      <c r="Z77" t="s">
        <v>184</v>
      </c>
      <c r="AF77">
        <v>45993.791666666701</v>
      </c>
      <c r="AI77" t="s">
        <v>185</v>
      </c>
      <c r="AJ77" t="s">
        <v>186</v>
      </c>
      <c r="AK77" t="s">
        <v>187</v>
      </c>
      <c r="AL77" t="s">
        <v>187</v>
      </c>
      <c r="AM77" t="s">
        <v>188</v>
      </c>
      <c r="AN77" t="s">
        <v>189</v>
      </c>
      <c r="AO77" t="s">
        <v>6</v>
      </c>
      <c r="AP77" t="s">
        <v>9</v>
      </c>
      <c r="AQ77" t="s">
        <v>53</v>
      </c>
      <c r="AR77" t="s">
        <v>190</v>
      </c>
      <c r="AS77" t="s">
        <v>174</v>
      </c>
      <c r="AT77" t="s">
        <v>191</v>
      </c>
    </row>
    <row r="78" spans="1:46" ht="105" x14ac:dyDescent="0.25">
      <c r="A78" s="5">
        <v>46070.636400462965</v>
      </c>
      <c r="B78" t="s">
        <v>559</v>
      </c>
      <c r="C78" t="s">
        <v>173</v>
      </c>
      <c r="D78" t="s">
        <v>174</v>
      </c>
      <c r="E78" t="s">
        <v>147</v>
      </c>
      <c r="H78" t="s">
        <v>175</v>
      </c>
      <c r="I78" t="s">
        <v>176</v>
      </c>
      <c r="J78" t="s">
        <v>5</v>
      </c>
      <c r="K78" t="s">
        <v>177</v>
      </c>
      <c r="L78" s="6" t="s">
        <v>560</v>
      </c>
      <c r="M78" t="s">
        <v>7</v>
      </c>
      <c r="N78" t="s">
        <v>561</v>
      </c>
      <c r="O78" t="s">
        <v>562</v>
      </c>
      <c r="P78" t="s">
        <v>563</v>
      </c>
      <c r="R78" t="s">
        <v>175</v>
      </c>
      <c r="S78" t="s">
        <v>176</v>
      </c>
      <c r="T78" t="s">
        <v>5</v>
      </c>
      <c r="U78" t="s">
        <v>177</v>
      </c>
      <c r="V78">
        <v>1</v>
      </c>
      <c r="W78" t="s">
        <v>182</v>
      </c>
      <c r="X78" t="s">
        <v>183</v>
      </c>
      <c r="Z78" t="s">
        <v>184</v>
      </c>
      <c r="AF78">
        <v>45992.791666666701</v>
      </c>
      <c r="AI78" t="s">
        <v>185</v>
      </c>
      <c r="AJ78" t="s">
        <v>186</v>
      </c>
      <c r="AK78" t="s">
        <v>187</v>
      </c>
      <c r="AL78" t="s">
        <v>187</v>
      </c>
      <c r="AM78" t="s">
        <v>188</v>
      </c>
      <c r="AN78" t="s">
        <v>189</v>
      </c>
      <c r="AO78" t="s">
        <v>6</v>
      </c>
      <c r="AP78" t="s">
        <v>9</v>
      </c>
      <c r="AQ78" t="s">
        <v>53</v>
      </c>
      <c r="AR78" t="s">
        <v>190</v>
      </c>
      <c r="AS78" t="s">
        <v>174</v>
      </c>
      <c r="AT78" t="s">
        <v>191</v>
      </c>
    </row>
    <row r="79" spans="1:46" ht="105" x14ac:dyDescent="0.25">
      <c r="A79" s="5">
        <v>46070.629884259259</v>
      </c>
      <c r="B79" t="s">
        <v>564</v>
      </c>
      <c r="C79" t="s">
        <v>173</v>
      </c>
      <c r="D79" t="s">
        <v>174</v>
      </c>
      <c r="E79" t="s">
        <v>147</v>
      </c>
      <c r="H79" t="s">
        <v>175</v>
      </c>
      <c r="I79" t="s">
        <v>176</v>
      </c>
      <c r="J79" t="s">
        <v>5</v>
      </c>
      <c r="K79" t="s">
        <v>177</v>
      </c>
      <c r="L79" s="6" t="s">
        <v>565</v>
      </c>
      <c r="M79" t="s">
        <v>7</v>
      </c>
      <c r="N79" t="s">
        <v>566</v>
      </c>
      <c r="O79" t="s">
        <v>567</v>
      </c>
      <c r="P79" t="s">
        <v>568</v>
      </c>
      <c r="R79" t="s">
        <v>175</v>
      </c>
      <c r="S79" t="s">
        <v>176</v>
      </c>
      <c r="T79" t="s">
        <v>5</v>
      </c>
      <c r="U79" t="s">
        <v>177</v>
      </c>
      <c r="V79">
        <v>1</v>
      </c>
      <c r="W79" t="s">
        <v>182</v>
      </c>
      <c r="X79" t="s">
        <v>183</v>
      </c>
      <c r="Z79" t="s">
        <v>184</v>
      </c>
      <c r="AF79">
        <v>45992.791666666701</v>
      </c>
      <c r="AI79" t="s">
        <v>185</v>
      </c>
      <c r="AJ79" t="s">
        <v>186</v>
      </c>
      <c r="AK79" t="s">
        <v>187</v>
      </c>
      <c r="AL79" t="s">
        <v>187</v>
      </c>
      <c r="AM79" t="s">
        <v>188</v>
      </c>
      <c r="AN79" t="s">
        <v>189</v>
      </c>
      <c r="AO79" t="s">
        <v>6</v>
      </c>
      <c r="AP79" t="s">
        <v>9</v>
      </c>
      <c r="AQ79" t="s">
        <v>53</v>
      </c>
      <c r="AR79" t="s">
        <v>190</v>
      </c>
      <c r="AS79" t="s">
        <v>174</v>
      </c>
      <c r="AT79" t="s">
        <v>191</v>
      </c>
    </row>
    <row r="80" spans="1:46" ht="105" x14ac:dyDescent="0.25">
      <c r="A80" s="5">
        <v>46070.625543981485</v>
      </c>
      <c r="B80" t="s">
        <v>569</v>
      </c>
      <c r="C80" t="s">
        <v>173</v>
      </c>
      <c r="D80" t="s">
        <v>174</v>
      </c>
      <c r="E80" t="s">
        <v>147</v>
      </c>
      <c r="H80" t="s">
        <v>175</v>
      </c>
      <c r="I80" t="s">
        <v>176</v>
      </c>
      <c r="J80" t="s">
        <v>5</v>
      </c>
      <c r="K80" t="s">
        <v>177</v>
      </c>
      <c r="L80" s="6" t="s">
        <v>570</v>
      </c>
      <c r="M80" t="s">
        <v>7</v>
      </c>
      <c r="N80" t="s">
        <v>571</v>
      </c>
      <c r="O80" t="s">
        <v>572</v>
      </c>
      <c r="P80" t="s">
        <v>573</v>
      </c>
      <c r="R80" t="s">
        <v>175</v>
      </c>
      <c r="S80" t="s">
        <v>176</v>
      </c>
      <c r="T80" t="s">
        <v>5</v>
      </c>
      <c r="U80" t="s">
        <v>177</v>
      </c>
      <c r="V80">
        <v>1</v>
      </c>
      <c r="W80" t="s">
        <v>182</v>
      </c>
      <c r="X80" t="s">
        <v>183</v>
      </c>
      <c r="Z80" t="s">
        <v>184</v>
      </c>
      <c r="AF80">
        <v>45991.791666666701</v>
      </c>
      <c r="AI80" t="s">
        <v>185</v>
      </c>
      <c r="AJ80" t="s">
        <v>186</v>
      </c>
      <c r="AK80" t="s">
        <v>187</v>
      </c>
      <c r="AL80" t="s">
        <v>187</v>
      </c>
      <c r="AM80" t="s">
        <v>188</v>
      </c>
      <c r="AN80" t="s">
        <v>189</v>
      </c>
      <c r="AO80" t="s">
        <v>6</v>
      </c>
      <c r="AP80" t="s">
        <v>9</v>
      </c>
      <c r="AQ80" t="s">
        <v>53</v>
      </c>
      <c r="AR80" t="s">
        <v>190</v>
      </c>
      <c r="AS80" t="s">
        <v>174</v>
      </c>
      <c r="AT80" t="s">
        <v>191</v>
      </c>
    </row>
    <row r="81" spans="1:46" ht="105" x14ac:dyDescent="0.25">
      <c r="A81" s="5">
        <v>46070.620358796295</v>
      </c>
      <c r="B81" t="s">
        <v>574</v>
      </c>
      <c r="C81" t="s">
        <v>173</v>
      </c>
      <c r="D81" t="s">
        <v>174</v>
      </c>
      <c r="E81" t="s">
        <v>147</v>
      </c>
      <c r="H81" t="s">
        <v>175</v>
      </c>
      <c r="I81" t="s">
        <v>176</v>
      </c>
      <c r="J81" t="s">
        <v>5</v>
      </c>
      <c r="K81" t="s">
        <v>177</v>
      </c>
      <c r="L81" s="6" t="s">
        <v>575</v>
      </c>
      <c r="M81" t="s">
        <v>7</v>
      </c>
      <c r="N81" t="s">
        <v>576</v>
      </c>
      <c r="O81" t="s">
        <v>577</v>
      </c>
      <c r="P81" t="s">
        <v>578</v>
      </c>
      <c r="R81" t="s">
        <v>175</v>
      </c>
      <c r="S81" t="s">
        <v>176</v>
      </c>
      <c r="T81" t="s">
        <v>5</v>
      </c>
      <c r="U81" t="s">
        <v>177</v>
      </c>
      <c r="V81">
        <v>1</v>
      </c>
      <c r="W81" t="s">
        <v>182</v>
      </c>
      <c r="X81" t="s">
        <v>183</v>
      </c>
      <c r="Z81" t="s">
        <v>184</v>
      </c>
      <c r="AF81">
        <v>45985.791666666701</v>
      </c>
      <c r="AI81" t="s">
        <v>185</v>
      </c>
      <c r="AJ81" t="s">
        <v>186</v>
      </c>
      <c r="AK81" t="s">
        <v>187</v>
      </c>
      <c r="AL81" t="s">
        <v>187</v>
      </c>
      <c r="AM81" t="s">
        <v>188</v>
      </c>
      <c r="AN81" t="s">
        <v>189</v>
      </c>
      <c r="AO81" t="s">
        <v>6</v>
      </c>
      <c r="AP81" t="s">
        <v>9</v>
      </c>
      <c r="AQ81" t="s">
        <v>53</v>
      </c>
      <c r="AR81" t="s">
        <v>190</v>
      </c>
      <c r="AS81" t="s">
        <v>174</v>
      </c>
      <c r="AT81" t="s">
        <v>191</v>
      </c>
    </row>
    <row r="82" spans="1:46" ht="105" x14ac:dyDescent="0.25">
      <c r="A82" s="5">
        <v>46070.609351851854</v>
      </c>
      <c r="B82" t="s">
        <v>579</v>
      </c>
      <c r="C82" t="s">
        <v>173</v>
      </c>
      <c r="D82" t="s">
        <v>174</v>
      </c>
      <c r="E82" t="s">
        <v>147</v>
      </c>
      <c r="H82" t="s">
        <v>175</v>
      </c>
      <c r="I82" t="s">
        <v>176</v>
      </c>
      <c r="J82" t="s">
        <v>5</v>
      </c>
      <c r="K82" t="s">
        <v>177</v>
      </c>
      <c r="L82" s="6" t="s">
        <v>580</v>
      </c>
      <c r="M82" t="s">
        <v>7</v>
      </c>
      <c r="N82" t="s">
        <v>581</v>
      </c>
      <c r="O82" t="s">
        <v>582</v>
      </c>
      <c r="P82" t="s">
        <v>583</v>
      </c>
      <c r="R82" t="s">
        <v>175</v>
      </c>
      <c r="S82" t="s">
        <v>176</v>
      </c>
      <c r="T82" t="s">
        <v>5</v>
      </c>
      <c r="U82" t="s">
        <v>177</v>
      </c>
      <c r="V82">
        <v>1</v>
      </c>
      <c r="W82" t="s">
        <v>182</v>
      </c>
      <c r="X82" t="s">
        <v>183</v>
      </c>
      <c r="Z82" t="s">
        <v>184</v>
      </c>
      <c r="AF82">
        <v>45988.791666666701</v>
      </c>
      <c r="AI82" t="s">
        <v>185</v>
      </c>
      <c r="AJ82" t="s">
        <v>186</v>
      </c>
      <c r="AK82" t="s">
        <v>187</v>
      </c>
      <c r="AL82" t="s">
        <v>187</v>
      </c>
      <c r="AM82" t="s">
        <v>188</v>
      </c>
      <c r="AN82" t="s">
        <v>189</v>
      </c>
      <c r="AO82" t="s">
        <v>6</v>
      </c>
      <c r="AP82" t="s">
        <v>9</v>
      </c>
      <c r="AQ82" t="s">
        <v>53</v>
      </c>
      <c r="AR82" t="s">
        <v>190</v>
      </c>
      <c r="AS82" t="s">
        <v>174</v>
      </c>
      <c r="AT82" t="s">
        <v>191</v>
      </c>
    </row>
    <row r="83" spans="1:46" ht="105" x14ac:dyDescent="0.25">
      <c r="A83" s="5">
        <v>46070.604513888888</v>
      </c>
      <c r="B83" t="s">
        <v>584</v>
      </c>
      <c r="C83" t="s">
        <v>173</v>
      </c>
      <c r="D83" t="s">
        <v>174</v>
      </c>
      <c r="E83" t="s">
        <v>147</v>
      </c>
      <c r="H83" t="s">
        <v>175</v>
      </c>
      <c r="I83" t="s">
        <v>176</v>
      </c>
      <c r="J83" t="s">
        <v>5</v>
      </c>
      <c r="K83" t="s">
        <v>177</v>
      </c>
      <c r="L83" s="6" t="s">
        <v>585</v>
      </c>
      <c r="M83" t="s">
        <v>7</v>
      </c>
      <c r="N83" t="s">
        <v>586</v>
      </c>
      <c r="O83" t="s">
        <v>587</v>
      </c>
      <c r="P83" t="s">
        <v>588</v>
      </c>
      <c r="R83" t="s">
        <v>175</v>
      </c>
      <c r="S83" t="s">
        <v>176</v>
      </c>
      <c r="T83" t="s">
        <v>5</v>
      </c>
      <c r="U83" t="s">
        <v>177</v>
      </c>
      <c r="V83">
        <v>1</v>
      </c>
      <c r="W83" t="s">
        <v>182</v>
      </c>
      <c r="X83" t="s">
        <v>183</v>
      </c>
      <c r="Z83" t="s">
        <v>184</v>
      </c>
      <c r="AF83">
        <v>45986.791666666701</v>
      </c>
      <c r="AI83" t="s">
        <v>185</v>
      </c>
      <c r="AJ83" t="s">
        <v>186</v>
      </c>
      <c r="AK83" t="s">
        <v>187</v>
      </c>
      <c r="AL83" t="s">
        <v>187</v>
      </c>
      <c r="AM83" t="s">
        <v>188</v>
      </c>
      <c r="AN83" t="s">
        <v>189</v>
      </c>
      <c r="AO83" t="s">
        <v>6</v>
      </c>
      <c r="AP83" t="s">
        <v>9</v>
      </c>
      <c r="AQ83" t="s">
        <v>53</v>
      </c>
      <c r="AR83" t="s">
        <v>190</v>
      </c>
      <c r="AS83" t="s">
        <v>174</v>
      </c>
      <c r="AT83" t="s">
        <v>191</v>
      </c>
    </row>
    <row r="84" spans="1:46" ht="105" x14ac:dyDescent="0.25">
      <c r="A84" s="5">
        <v>46070.599490740744</v>
      </c>
      <c r="B84" t="s">
        <v>589</v>
      </c>
      <c r="C84" t="s">
        <v>173</v>
      </c>
      <c r="D84" t="s">
        <v>174</v>
      </c>
      <c r="E84" t="s">
        <v>147</v>
      </c>
      <c r="H84" t="s">
        <v>175</v>
      </c>
      <c r="I84" t="s">
        <v>176</v>
      </c>
      <c r="J84" t="s">
        <v>5</v>
      </c>
      <c r="K84" t="s">
        <v>177</v>
      </c>
      <c r="L84" s="6" t="s">
        <v>590</v>
      </c>
      <c r="M84" t="s">
        <v>7</v>
      </c>
      <c r="N84" t="s">
        <v>591</v>
      </c>
      <c r="O84" t="s">
        <v>592</v>
      </c>
      <c r="P84" t="s">
        <v>593</v>
      </c>
      <c r="R84" t="s">
        <v>175</v>
      </c>
      <c r="S84" t="s">
        <v>176</v>
      </c>
      <c r="T84" t="s">
        <v>5</v>
      </c>
      <c r="U84" t="s">
        <v>177</v>
      </c>
      <c r="V84">
        <v>1</v>
      </c>
      <c r="W84" t="s">
        <v>182</v>
      </c>
      <c r="X84" t="s">
        <v>183</v>
      </c>
      <c r="Z84" t="s">
        <v>184</v>
      </c>
      <c r="AF84">
        <v>45994.791666666701</v>
      </c>
      <c r="AI84" t="s">
        <v>185</v>
      </c>
      <c r="AJ84" t="s">
        <v>186</v>
      </c>
      <c r="AK84" t="s">
        <v>187</v>
      </c>
      <c r="AL84" t="s">
        <v>187</v>
      </c>
      <c r="AM84" t="s">
        <v>188</v>
      </c>
      <c r="AN84" t="s">
        <v>189</v>
      </c>
      <c r="AO84" t="s">
        <v>6</v>
      </c>
      <c r="AP84" t="s">
        <v>9</v>
      </c>
      <c r="AQ84" t="s">
        <v>53</v>
      </c>
      <c r="AR84" t="s">
        <v>190</v>
      </c>
      <c r="AS84" t="s">
        <v>174</v>
      </c>
      <c r="AT84" t="s">
        <v>191</v>
      </c>
    </row>
    <row r="85" spans="1:46" ht="105" x14ac:dyDescent="0.25">
      <c r="A85" s="5">
        <v>46070.594884259262</v>
      </c>
      <c r="B85" t="s">
        <v>594</v>
      </c>
      <c r="C85" t="s">
        <v>173</v>
      </c>
      <c r="D85" t="s">
        <v>174</v>
      </c>
      <c r="E85" t="s">
        <v>147</v>
      </c>
      <c r="H85" t="s">
        <v>175</v>
      </c>
      <c r="I85" t="s">
        <v>176</v>
      </c>
      <c r="J85" t="s">
        <v>5</v>
      </c>
      <c r="K85" t="s">
        <v>177</v>
      </c>
      <c r="L85" s="6" t="s">
        <v>595</v>
      </c>
      <c r="M85" t="s">
        <v>7</v>
      </c>
      <c r="N85" t="s">
        <v>596</v>
      </c>
      <c r="O85" t="s">
        <v>597</v>
      </c>
      <c r="P85" t="s">
        <v>598</v>
      </c>
      <c r="R85" t="s">
        <v>175</v>
      </c>
      <c r="S85" t="s">
        <v>176</v>
      </c>
      <c r="T85" t="s">
        <v>5</v>
      </c>
      <c r="U85" t="s">
        <v>177</v>
      </c>
      <c r="V85">
        <v>1</v>
      </c>
      <c r="W85" t="s">
        <v>182</v>
      </c>
      <c r="X85" t="s">
        <v>183</v>
      </c>
      <c r="Z85" t="s">
        <v>184</v>
      </c>
      <c r="AF85">
        <v>45994.791666666701</v>
      </c>
      <c r="AI85" t="s">
        <v>185</v>
      </c>
      <c r="AJ85" t="s">
        <v>186</v>
      </c>
      <c r="AK85" t="s">
        <v>187</v>
      </c>
      <c r="AL85" t="s">
        <v>187</v>
      </c>
      <c r="AM85" t="s">
        <v>188</v>
      </c>
      <c r="AN85" t="s">
        <v>189</v>
      </c>
      <c r="AO85" t="s">
        <v>6</v>
      </c>
      <c r="AP85" t="s">
        <v>9</v>
      </c>
      <c r="AQ85" t="s">
        <v>53</v>
      </c>
      <c r="AR85" t="s">
        <v>190</v>
      </c>
      <c r="AS85" t="s">
        <v>174</v>
      </c>
      <c r="AT85" t="s">
        <v>191</v>
      </c>
    </row>
    <row r="86" spans="1:46" ht="105" x14ac:dyDescent="0.25">
      <c r="A86" s="5">
        <v>46070.589745370373</v>
      </c>
      <c r="B86" t="s">
        <v>599</v>
      </c>
      <c r="C86" t="s">
        <v>173</v>
      </c>
      <c r="D86" t="s">
        <v>174</v>
      </c>
      <c r="E86" t="s">
        <v>147</v>
      </c>
      <c r="H86" t="s">
        <v>175</v>
      </c>
      <c r="I86" t="s">
        <v>176</v>
      </c>
      <c r="J86" t="s">
        <v>5</v>
      </c>
      <c r="K86" t="s">
        <v>177</v>
      </c>
      <c r="L86" s="6" t="s">
        <v>600</v>
      </c>
      <c r="M86" t="s">
        <v>7</v>
      </c>
      <c r="N86" t="s">
        <v>601</v>
      </c>
      <c r="O86" t="s">
        <v>602</v>
      </c>
      <c r="P86" t="s">
        <v>603</v>
      </c>
      <c r="R86" t="s">
        <v>175</v>
      </c>
      <c r="S86" t="s">
        <v>176</v>
      </c>
      <c r="T86" t="s">
        <v>5</v>
      </c>
      <c r="U86" t="s">
        <v>177</v>
      </c>
      <c r="V86">
        <v>1</v>
      </c>
      <c r="W86" t="s">
        <v>182</v>
      </c>
      <c r="X86" t="s">
        <v>183</v>
      </c>
      <c r="Z86" t="s">
        <v>184</v>
      </c>
      <c r="AF86">
        <v>45986.791666666701</v>
      </c>
      <c r="AI86" t="s">
        <v>185</v>
      </c>
      <c r="AJ86" t="s">
        <v>186</v>
      </c>
      <c r="AK86" t="s">
        <v>187</v>
      </c>
      <c r="AL86" t="s">
        <v>187</v>
      </c>
      <c r="AM86" t="s">
        <v>188</v>
      </c>
      <c r="AN86" t="s">
        <v>189</v>
      </c>
      <c r="AO86" t="s">
        <v>6</v>
      </c>
      <c r="AP86" t="s">
        <v>9</v>
      </c>
      <c r="AQ86" t="s">
        <v>53</v>
      </c>
      <c r="AR86" t="s">
        <v>190</v>
      </c>
      <c r="AS86" t="s">
        <v>174</v>
      </c>
      <c r="AT86" t="s">
        <v>191</v>
      </c>
    </row>
    <row r="87" spans="1:46" ht="105" x14ac:dyDescent="0.25">
      <c r="A87" s="5">
        <v>46070.584803240738</v>
      </c>
      <c r="B87" t="s">
        <v>604</v>
      </c>
      <c r="C87" t="s">
        <v>173</v>
      </c>
      <c r="D87" t="s">
        <v>174</v>
      </c>
      <c r="E87" t="s">
        <v>147</v>
      </c>
      <c r="H87" t="s">
        <v>175</v>
      </c>
      <c r="I87" t="s">
        <v>176</v>
      </c>
      <c r="J87" t="s">
        <v>5</v>
      </c>
      <c r="K87" t="s">
        <v>177</v>
      </c>
      <c r="L87" s="6" t="s">
        <v>605</v>
      </c>
      <c r="M87" t="s">
        <v>7</v>
      </c>
      <c r="N87" t="s">
        <v>606</v>
      </c>
      <c r="O87" t="s">
        <v>607</v>
      </c>
      <c r="P87" t="s">
        <v>608</v>
      </c>
      <c r="R87" t="s">
        <v>175</v>
      </c>
      <c r="S87" t="s">
        <v>176</v>
      </c>
      <c r="T87" t="s">
        <v>5</v>
      </c>
      <c r="U87" t="s">
        <v>177</v>
      </c>
      <c r="V87">
        <v>1</v>
      </c>
      <c r="W87" t="s">
        <v>182</v>
      </c>
      <c r="X87" t="s">
        <v>183</v>
      </c>
      <c r="Z87" t="s">
        <v>184</v>
      </c>
      <c r="AF87">
        <v>45986.791666666701</v>
      </c>
      <c r="AI87" t="s">
        <v>185</v>
      </c>
      <c r="AJ87" t="s">
        <v>186</v>
      </c>
      <c r="AK87" t="s">
        <v>187</v>
      </c>
      <c r="AL87" t="s">
        <v>187</v>
      </c>
      <c r="AM87" t="s">
        <v>188</v>
      </c>
      <c r="AN87" t="s">
        <v>189</v>
      </c>
      <c r="AO87" t="s">
        <v>6</v>
      </c>
      <c r="AP87" t="s">
        <v>9</v>
      </c>
      <c r="AQ87" t="s">
        <v>53</v>
      </c>
      <c r="AR87" t="s">
        <v>190</v>
      </c>
      <c r="AS87" t="s">
        <v>174</v>
      </c>
      <c r="AT87" t="s">
        <v>191</v>
      </c>
    </row>
    <row r="88" spans="1:46" ht="105" x14ac:dyDescent="0.25">
      <c r="A88" s="5">
        <v>46070.578958333332</v>
      </c>
      <c r="B88" t="s">
        <v>609</v>
      </c>
      <c r="C88" t="s">
        <v>173</v>
      </c>
      <c r="D88" t="s">
        <v>174</v>
      </c>
      <c r="E88" t="s">
        <v>147</v>
      </c>
      <c r="H88" t="s">
        <v>175</v>
      </c>
      <c r="I88" t="s">
        <v>176</v>
      </c>
      <c r="J88" t="s">
        <v>5</v>
      </c>
      <c r="K88" t="s">
        <v>177</v>
      </c>
      <c r="L88" s="6" t="s">
        <v>610</v>
      </c>
      <c r="M88" t="s">
        <v>7</v>
      </c>
      <c r="N88" t="s">
        <v>611</v>
      </c>
      <c r="O88" t="s">
        <v>612</v>
      </c>
      <c r="P88" t="s">
        <v>613</v>
      </c>
      <c r="R88" t="s">
        <v>175</v>
      </c>
      <c r="S88" t="s">
        <v>176</v>
      </c>
      <c r="T88" t="s">
        <v>5</v>
      </c>
      <c r="U88" t="s">
        <v>177</v>
      </c>
      <c r="V88">
        <v>1</v>
      </c>
      <c r="W88" t="s">
        <v>182</v>
      </c>
      <c r="X88" t="s">
        <v>183</v>
      </c>
      <c r="Z88" t="s">
        <v>184</v>
      </c>
      <c r="AF88">
        <v>45980.791666666701</v>
      </c>
      <c r="AI88" t="s">
        <v>185</v>
      </c>
      <c r="AJ88" t="s">
        <v>186</v>
      </c>
      <c r="AK88" t="s">
        <v>187</v>
      </c>
      <c r="AL88" t="s">
        <v>187</v>
      </c>
      <c r="AM88" t="s">
        <v>188</v>
      </c>
      <c r="AN88" t="s">
        <v>189</v>
      </c>
      <c r="AO88" t="s">
        <v>6</v>
      </c>
      <c r="AP88" t="s">
        <v>9</v>
      </c>
      <c r="AQ88" t="s">
        <v>53</v>
      </c>
      <c r="AR88" t="s">
        <v>190</v>
      </c>
      <c r="AS88" t="s">
        <v>174</v>
      </c>
      <c r="AT88" t="s">
        <v>191</v>
      </c>
    </row>
    <row r="89" spans="1:46" ht="105" x14ac:dyDescent="0.25">
      <c r="A89" s="5">
        <v>46076.606828703705</v>
      </c>
      <c r="B89" t="s">
        <v>614</v>
      </c>
      <c r="C89" t="s">
        <v>173</v>
      </c>
      <c r="D89" t="s">
        <v>174</v>
      </c>
      <c r="E89" t="s">
        <v>147</v>
      </c>
      <c r="H89" t="s">
        <v>175</v>
      </c>
      <c r="I89" t="s">
        <v>176</v>
      </c>
      <c r="J89" t="s">
        <v>5</v>
      </c>
      <c r="K89" t="s">
        <v>177</v>
      </c>
      <c r="L89" s="6" t="s">
        <v>615</v>
      </c>
      <c r="M89" t="s">
        <v>7</v>
      </c>
      <c r="N89" t="s">
        <v>616</v>
      </c>
      <c r="O89" t="s">
        <v>617</v>
      </c>
      <c r="P89" t="s">
        <v>618</v>
      </c>
      <c r="R89" t="s">
        <v>175</v>
      </c>
      <c r="S89" t="s">
        <v>176</v>
      </c>
      <c r="T89" t="s">
        <v>5</v>
      </c>
      <c r="U89" t="s">
        <v>177</v>
      </c>
      <c r="V89">
        <v>1</v>
      </c>
      <c r="W89" t="s">
        <v>182</v>
      </c>
      <c r="X89" t="s">
        <v>183</v>
      </c>
      <c r="Z89" t="s">
        <v>184</v>
      </c>
      <c r="AF89">
        <v>45999.791666666701</v>
      </c>
      <c r="AI89" t="s">
        <v>185</v>
      </c>
      <c r="AJ89" t="s">
        <v>186</v>
      </c>
      <c r="AK89" t="s">
        <v>187</v>
      </c>
      <c r="AL89" t="s">
        <v>187</v>
      </c>
      <c r="AM89" t="s">
        <v>188</v>
      </c>
      <c r="AN89" t="s">
        <v>189</v>
      </c>
      <c r="AO89" t="s">
        <v>6</v>
      </c>
      <c r="AP89" t="s">
        <v>9</v>
      </c>
      <c r="AQ89" t="s">
        <v>53</v>
      </c>
      <c r="AR89" t="s">
        <v>190</v>
      </c>
      <c r="AS89" t="s">
        <v>174</v>
      </c>
      <c r="AT89" t="s">
        <v>191</v>
      </c>
    </row>
    <row r="90" spans="1:46" ht="105" x14ac:dyDescent="0.25">
      <c r="A90" s="5">
        <v>46076.61146990741</v>
      </c>
      <c r="B90" t="s">
        <v>619</v>
      </c>
      <c r="C90" t="s">
        <v>173</v>
      </c>
      <c r="D90" t="s">
        <v>174</v>
      </c>
      <c r="E90" t="s">
        <v>147</v>
      </c>
      <c r="H90" t="s">
        <v>175</v>
      </c>
      <c r="I90" t="s">
        <v>176</v>
      </c>
      <c r="J90" t="s">
        <v>5</v>
      </c>
      <c r="K90" t="s">
        <v>177</v>
      </c>
      <c r="L90" s="6" t="s">
        <v>268</v>
      </c>
      <c r="M90" t="s">
        <v>7</v>
      </c>
      <c r="N90" t="s">
        <v>531</v>
      </c>
      <c r="O90" t="s">
        <v>620</v>
      </c>
      <c r="P90" t="s">
        <v>621</v>
      </c>
      <c r="R90" t="s">
        <v>175</v>
      </c>
      <c r="S90" t="s">
        <v>176</v>
      </c>
      <c r="T90" t="s">
        <v>5</v>
      </c>
      <c r="U90" t="s">
        <v>177</v>
      </c>
      <c r="V90">
        <v>1</v>
      </c>
      <c r="W90" t="s">
        <v>182</v>
      </c>
      <c r="X90" t="s">
        <v>183</v>
      </c>
      <c r="Z90" t="s">
        <v>184</v>
      </c>
      <c r="AF90">
        <v>46002.791666666701</v>
      </c>
      <c r="AI90" t="s">
        <v>185</v>
      </c>
      <c r="AJ90" t="s">
        <v>186</v>
      </c>
      <c r="AK90" t="s">
        <v>187</v>
      </c>
      <c r="AL90" t="s">
        <v>187</v>
      </c>
      <c r="AM90" t="s">
        <v>188</v>
      </c>
      <c r="AN90" t="s">
        <v>189</v>
      </c>
      <c r="AO90" t="s">
        <v>6</v>
      </c>
      <c r="AP90" t="s">
        <v>9</v>
      </c>
      <c r="AQ90" t="s">
        <v>53</v>
      </c>
      <c r="AR90" t="s">
        <v>190</v>
      </c>
      <c r="AS90" t="s">
        <v>174</v>
      </c>
      <c r="AT90" t="s">
        <v>191</v>
      </c>
    </row>
    <row r="91" spans="1:46" ht="210" x14ac:dyDescent="0.25">
      <c r="A91" s="5">
        <v>46066.708854166667</v>
      </c>
      <c r="B91" t="s">
        <v>622</v>
      </c>
      <c r="C91" t="s">
        <v>173</v>
      </c>
      <c r="D91" t="s">
        <v>174</v>
      </c>
      <c r="E91" t="s">
        <v>325</v>
      </c>
      <c r="H91" t="s">
        <v>175</v>
      </c>
      <c r="I91" t="s">
        <v>176</v>
      </c>
      <c r="J91" t="s">
        <v>5</v>
      </c>
      <c r="K91" t="s">
        <v>200</v>
      </c>
      <c r="L91" s="6" t="s">
        <v>623</v>
      </c>
      <c r="M91" t="s">
        <v>114</v>
      </c>
      <c r="N91" t="s">
        <v>624</v>
      </c>
      <c r="O91" t="s">
        <v>625</v>
      </c>
      <c r="P91" t="s">
        <v>626</v>
      </c>
      <c r="Q91">
        <v>2</v>
      </c>
      <c r="R91" t="s">
        <v>175</v>
      </c>
      <c r="S91" t="s">
        <v>176</v>
      </c>
      <c r="T91" t="s">
        <v>5</v>
      </c>
      <c r="U91" t="s">
        <v>200</v>
      </c>
      <c r="V91">
        <v>1</v>
      </c>
      <c r="W91" t="s">
        <v>330</v>
      </c>
      <c r="X91" t="s">
        <v>627</v>
      </c>
      <c r="Z91" t="s">
        <v>191</v>
      </c>
      <c r="AF91">
        <v>46033.791666666701</v>
      </c>
      <c r="AI91" t="s">
        <v>220</v>
      </c>
      <c r="AJ91" t="s">
        <v>186</v>
      </c>
      <c r="AK91" t="s">
        <v>346</v>
      </c>
      <c r="AL91" t="s">
        <v>493</v>
      </c>
      <c r="AM91" t="s">
        <v>188</v>
      </c>
      <c r="AN91" t="s">
        <v>189</v>
      </c>
      <c r="AO91" t="s">
        <v>26</v>
      </c>
      <c r="AP91" t="s">
        <v>29</v>
      </c>
      <c r="AQ91" t="s">
        <v>53</v>
      </c>
      <c r="AR91" t="s">
        <v>190</v>
      </c>
      <c r="AS91" t="s">
        <v>174</v>
      </c>
      <c r="AT91" t="s">
        <v>191</v>
      </c>
    </row>
    <row r="92" spans="1:46" ht="105" x14ac:dyDescent="0.25">
      <c r="A92" s="5">
        <v>46076.615960648145</v>
      </c>
      <c r="B92" t="s">
        <v>628</v>
      </c>
      <c r="C92" t="s">
        <v>173</v>
      </c>
      <c r="D92" t="s">
        <v>174</v>
      </c>
      <c r="E92" t="s">
        <v>147</v>
      </c>
      <c r="H92" t="s">
        <v>175</v>
      </c>
      <c r="I92" t="s">
        <v>176</v>
      </c>
      <c r="J92" t="s">
        <v>5</v>
      </c>
      <c r="K92" t="s">
        <v>177</v>
      </c>
      <c r="L92" s="6" t="s">
        <v>629</v>
      </c>
      <c r="M92" t="s">
        <v>7</v>
      </c>
      <c r="N92" t="s">
        <v>630</v>
      </c>
      <c r="O92" t="s">
        <v>631</v>
      </c>
      <c r="P92" t="s">
        <v>632</v>
      </c>
      <c r="R92" t="s">
        <v>175</v>
      </c>
      <c r="S92" t="s">
        <v>176</v>
      </c>
      <c r="T92" t="s">
        <v>5</v>
      </c>
      <c r="U92" t="s">
        <v>177</v>
      </c>
      <c r="V92">
        <v>1</v>
      </c>
      <c r="W92" t="s">
        <v>182</v>
      </c>
      <c r="X92" t="s">
        <v>183</v>
      </c>
      <c r="Z92" t="s">
        <v>184</v>
      </c>
      <c r="AF92">
        <v>46005.791666666701</v>
      </c>
      <c r="AI92" t="s">
        <v>185</v>
      </c>
      <c r="AJ92" t="s">
        <v>186</v>
      </c>
      <c r="AK92" t="s">
        <v>187</v>
      </c>
      <c r="AL92" t="s">
        <v>187</v>
      </c>
      <c r="AM92" t="s">
        <v>188</v>
      </c>
      <c r="AN92" t="s">
        <v>189</v>
      </c>
      <c r="AO92" t="s">
        <v>6</v>
      </c>
      <c r="AP92" t="s">
        <v>9</v>
      </c>
      <c r="AQ92" t="s">
        <v>53</v>
      </c>
      <c r="AR92" t="s">
        <v>190</v>
      </c>
      <c r="AS92" t="s">
        <v>174</v>
      </c>
      <c r="AT92" t="s">
        <v>191</v>
      </c>
    </row>
    <row r="93" spans="1:46" ht="75" x14ac:dyDescent="0.25">
      <c r="A93" s="5">
        <v>46065.431990740741</v>
      </c>
      <c r="B93" t="s">
        <v>633</v>
      </c>
      <c r="C93" t="s">
        <v>173</v>
      </c>
      <c r="D93" t="s">
        <v>174</v>
      </c>
      <c r="E93" t="s">
        <v>210</v>
      </c>
      <c r="G93" t="s">
        <v>211</v>
      </c>
      <c r="H93" t="s">
        <v>175</v>
      </c>
      <c r="I93" t="s">
        <v>176</v>
      </c>
      <c r="J93" t="s">
        <v>5</v>
      </c>
      <c r="K93" t="s">
        <v>200</v>
      </c>
      <c r="L93" s="6" t="s">
        <v>634</v>
      </c>
      <c r="M93" t="s">
        <v>57</v>
      </c>
      <c r="N93" t="s">
        <v>635</v>
      </c>
      <c r="O93" t="s">
        <v>636</v>
      </c>
      <c r="Q93">
        <v>2</v>
      </c>
      <c r="R93" t="s">
        <v>175</v>
      </c>
      <c r="S93" t="s">
        <v>176</v>
      </c>
      <c r="T93" t="s">
        <v>5</v>
      </c>
      <c r="U93" t="s">
        <v>200</v>
      </c>
      <c r="V93">
        <v>1</v>
      </c>
      <c r="W93" t="s">
        <v>397</v>
      </c>
      <c r="X93" t="s">
        <v>637</v>
      </c>
      <c r="Z93" t="s">
        <v>191</v>
      </c>
      <c r="AB93" t="s">
        <v>638</v>
      </c>
      <c r="AC93" t="s">
        <v>639</v>
      </c>
      <c r="AF93">
        <v>46050.791666666701</v>
      </c>
      <c r="AI93" t="s">
        <v>220</v>
      </c>
      <c r="AJ93" t="s">
        <v>186</v>
      </c>
      <c r="AK93" t="s">
        <v>640</v>
      </c>
      <c r="AL93" t="s">
        <v>640</v>
      </c>
      <c r="AM93" t="s">
        <v>641</v>
      </c>
      <c r="AN93" t="s">
        <v>189</v>
      </c>
      <c r="AO93" t="s">
        <v>27</v>
      </c>
      <c r="AP93" t="s">
        <v>30</v>
      </c>
      <c r="AQ93" t="s">
        <v>53</v>
      </c>
      <c r="AR93" t="s">
        <v>190</v>
      </c>
      <c r="AS93" t="s">
        <v>174</v>
      </c>
      <c r="AT93" t="s">
        <v>191</v>
      </c>
    </row>
    <row r="94" spans="1:46" ht="75" x14ac:dyDescent="0.25">
      <c r="A94" s="5">
        <v>46065.431990740741</v>
      </c>
      <c r="B94" t="s">
        <v>633</v>
      </c>
      <c r="C94" t="s">
        <v>173</v>
      </c>
      <c r="D94" t="s">
        <v>174</v>
      </c>
      <c r="E94" t="s">
        <v>210</v>
      </c>
      <c r="G94" t="s">
        <v>211</v>
      </c>
      <c r="H94" t="s">
        <v>175</v>
      </c>
      <c r="I94" t="s">
        <v>176</v>
      </c>
      <c r="J94" t="s">
        <v>5</v>
      </c>
      <c r="K94" t="s">
        <v>200</v>
      </c>
      <c r="L94" s="6" t="s">
        <v>634</v>
      </c>
      <c r="M94" t="s">
        <v>57</v>
      </c>
      <c r="N94" t="s">
        <v>635</v>
      </c>
      <c r="O94" t="s">
        <v>636</v>
      </c>
      <c r="Q94">
        <v>5</v>
      </c>
      <c r="R94" t="s">
        <v>175</v>
      </c>
      <c r="S94" t="s">
        <v>176</v>
      </c>
      <c r="T94" t="s">
        <v>5</v>
      </c>
      <c r="U94" t="s">
        <v>200</v>
      </c>
      <c r="V94">
        <v>2</v>
      </c>
      <c r="W94" t="s">
        <v>397</v>
      </c>
      <c r="X94" t="s">
        <v>637</v>
      </c>
      <c r="Z94" t="s">
        <v>191</v>
      </c>
      <c r="AB94" t="s">
        <v>642</v>
      </c>
      <c r="AC94" t="s">
        <v>639</v>
      </c>
      <c r="AF94">
        <v>46050.791666666701</v>
      </c>
      <c r="AI94" t="s">
        <v>220</v>
      </c>
      <c r="AJ94" t="s">
        <v>186</v>
      </c>
      <c r="AK94" t="s">
        <v>640</v>
      </c>
      <c r="AL94" t="s">
        <v>640</v>
      </c>
      <c r="AM94" t="s">
        <v>641</v>
      </c>
      <c r="AN94" t="s">
        <v>189</v>
      </c>
      <c r="AO94" t="s">
        <v>27</v>
      </c>
      <c r="AP94" t="s">
        <v>30</v>
      </c>
      <c r="AQ94" t="s">
        <v>53</v>
      </c>
      <c r="AR94" t="s">
        <v>190</v>
      </c>
      <c r="AS94" t="s">
        <v>174</v>
      </c>
      <c r="AT94" t="s">
        <v>191</v>
      </c>
    </row>
    <row r="95" spans="1:46" ht="210" x14ac:dyDescent="0.25">
      <c r="A95" s="5">
        <v>46078.482430555552</v>
      </c>
      <c r="B95" t="s">
        <v>643</v>
      </c>
      <c r="C95" t="s">
        <v>173</v>
      </c>
      <c r="D95" t="s">
        <v>174</v>
      </c>
      <c r="E95" t="s">
        <v>325</v>
      </c>
      <c r="H95" t="s">
        <v>175</v>
      </c>
      <c r="I95" t="s">
        <v>176</v>
      </c>
      <c r="J95" t="s">
        <v>5</v>
      </c>
      <c r="K95" t="s">
        <v>200</v>
      </c>
      <c r="L95" s="6" t="s">
        <v>644</v>
      </c>
      <c r="M95" t="s">
        <v>76</v>
      </c>
      <c r="N95" t="s">
        <v>645</v>
      </c>
      <c r="O95" t="s">
        <v>646</v>
      </c>
      <c r="P95" t="s">
        <v>647</v>
      </c>
      <c r="Q95">
        <v>2</v>
      </c>
      <c r="R95" t="s">
        <v>175</v>
      </c>
      <c r="S95" t="s">
        <v>176</v>
      </c>
      <c r="T95" t="s">
        <v>5</v>
      </c>
      <c r="U95" t="s">
        <v>200</v>
      </c>
      <c r="V95">
        <v>6</v>
      </c>
      <c r="W95" t="s">
        <v>648</v>
      </c>
      <c r="X95" t="s">
        <v>649</v>
      </c>
      <c r="Z95" t="s">
        <v>138</v>
      </c>
      <c r="AB95" t="s">
        <v>650</v>
      </c>
      <c r="AF95">
        <v>46056</v>
      </c>
      <c r="AI95" t="s">
        <v>220</v>
      </c>
      <c r="AJ95" t="s">
        <v>345</v>
      </c>
      <c r="AK95" t="s">
        <v>651</v>
      </c>
      <c r="AL95" t="s">
        <v>652</v>
      </c>
      <c r="AM95" t="s">
        <v>188</v>
      </c>
      <c r="AN95" t="s">
        <v>189</v>
      </c>
      <c r="AO95" t="s">
        <v>72</v>
      </c>
      <c r="AP95" t="s">
        <v>72</v>
      </c>
      <c r="AQ95" t="s">
        <v>53</v>
      </c>
      <c r="AR95" t="s">
        <v>190</v>
      </c>
      <c r="AS95" t="s">
        <v>174</v>
      </c>
      <c r="AT95" t="s">
        <v>138</v>
      </c>
    </row>
    <row r="96" spans="1:46" ht="210" x14ac:dyDescent="0.25">
      <c r="A96" s="5">
        <v>46078.482430555552</v>
      </c>
      <c r="B96" t="s">
        <v>643</v>
      </c>
      <c r="C96" t="s">
        <v>173</v>
      </c>
      <c r="D96" t="s">
        <v>174</v>
      </c>
      <c r="E96" t="s">
        <v>325</v>
      </c>
      <c r="H96" t="s">
        <v>175</v>
      </c>
      <c r="I96" t="s">
        <v>176</v>
      </c>
      <c r="J96" t="s">
        <v>5</v>
      </c>
      <c r="K96" t="s">
        <v>200</v>
      </c>
      <c r="L96" s="6" t="s">
        <v>644</v>
      </c>
      <c r="M96" t="s">
        <v>76</v>
      </c>
      <c r="N96" t="s">
        <v>645</v>
      </c>
      <c r="O96" t="s">
        <v>646</v>
      </c>
      <c r="P96" t="s">
        <v>647</v>
      </c>
      <c r="Q96">
        <v>2</v>
      </c>
      <c r="R96" t="s">
        <v>175</v>
      </c>
      <c r="S96" t="s">
        <v>176</v>
      </c>
      <c r="T96" t="s">
        <v>5</v>
      </c>
      <c r="U96" t="s">
        <v>200</v>
      </c>
      <c r="V96">
        <v>6</v>
      </c>
      <c r="W96" t="s">
        <v>648</v>
      </c>
      <c r="X96" t="s">
        <v>649</v>
      </c>
      <c r="Z96" t="s">
        <v>138</v>
      </c>
      <c r="AB96" t="s">
        <v>653</v>
      </c>
      <c r="AF96">
        <v>46056</v>
      </c>
      <c r="AI96" t="s">
        <v>480</v>
      </c>
      <c r="AJ96" t="s">
        <v>345</v>
      </c>
      <c r="AK96" t="s">
        <v>651</v>
      </c>
      <c r="AL96" t="s">
        <v>652</v>
      </c>
      <c r="AM96" t="s">
        <v>188</v>
      </c>
      <c r="AN96" t="s">
        <v>189</v>
      </c>
      <c r="AO96" t="s">
        <v>72</v>
      </c>
      <c r="AP96" t="s">
        <v>72</v>
      </c>
      <c r="AQ96" t="s">
        <v>53</v>
      </c>
      <c r="AR96" t="s">
        <v>190</v>
      </c>
      <c r="AS96" t="s">
        <v>174</v>
      </c>
      <c r="AT96" t="s">
        <v>138</v>
      </c>
    </row>
    <row r="97" spans="1:46" ht="75" x14ac:dyDescent="0.25">
      <c r="A97" s="5">
        <v>46074.622060185182</v>
      </c>
      <c r="B97" t="s">
        <v>654</v>
      </c>
      <c r="C97" t="s">
        <v>173</v>
      </c>
      <c r="D97" t="s">
        <v>198</v>
      </c>
      <c r="E97" t="s">
        <v>199</v>
      </c>
      <c r="H97" t="s">
        <v>175</v>
      </c>
      <c r="I97" t="s">
        <v>176</v>
      </c>
      <c r="J97" t="s">
        <v>5</v>
      </c>
      <c r="K97" t="s">
        <v>200</v>
      </c>
      <c r="L97" s="6" t="s">
        <v>655</v>
      </c>
      <c r="M97" t="s">
        <v>34</v>
      </c>
      <c r="N97" t="s">
        <v>656</v>
      </c>
      <c r="O97" t="s">
        <v>657</v>
      </c>
      <c r="P97" t="s">
        <v>658</v>
      </c>
      <c r="R97" t="s">
        <v>175</v>
      </c>
      <c r="S97" t="s">
        <v>176</v>
      </c>
      <c r="T97" t="s">
        <v>5</v>
      </c>
      <c r="U97" t="s">
        <v>200</v>
      </c>
      <c r="V97">
        <v>1</v>
      </c>
      <c r="W97" t="s">
        <v>659</v>
      </c>
      <c r="X97" t="s">
        <v>660</v>
      </c>
      <c r="Z97" t="s">
        <v>661</v>
      </c>
      <c r="AF97">
        <v>45984.791666666701</v>
      </c>
      <c r="AI97" t="s">
        <v>185</v>
      </c>
      <c r="AJ97" t="s">
        <v>186</v>
      </c>
      <c r="AK97" t="s">
        <v>278</v>
      </c>
      <c r="AL97" t="s">
        <v>278</v>
      </c>
      <c r="AM97" t="s">
        <v>208</v>
      </c>
      <c r="AN97" t="s">
        <v>189</v>
      </c>
      <c r="AO97" t="s">
        <v>64</v>
      </c>
      <c r="AP97" t="s">
        <v>67</v>
      </c>
      <c r="AQ97" t="s">
        <v>53</v>
      </c>
      <c r="AR97" t="s">
        <v>190</v>
      </c>
      <c r="AS97" t="s">
        <v>198</v>
      </c>
      <c r="AT97" t="s">
        <v>347</v>
      </c>
    </row>
    <row r="98" spans="1:46" ht="105" x14ac:dyDescent="0.25">
      <c r="A98" s="5">
        <v>46063.649571759262</v>
      </c>
      <c r="B98" t="s">
        <v>662</v>
      </c>
      <c r="C98" t="s">
        <v>173</v>
      </c>
      <c r="D98" t="s">
        <v>174</v>
      </c>
      <c r="E98" t="s">
        <v>147</v>
      </c>
      <c r="H98" t="s">
        <v>175</v>
      </c>
      <c r="I98" t="s">
        <v>176</v>
      </c>
      <c r="J98" t="s">
        <v>5</v>
      </c>
      <c r="K98" t="s">
        <v>177</v>
      </c>
      <c r="L98" s="6" t="s">
        <v>663</v>
      </c>
      <c r="M98" t="s">
        <v>21</v>
      </c>
      <c r="N98" t="s">
        <v>664</v>
      </c>
      <c r="O98" t="s">
        <v>665</v>
      </c>
      <c r="P98" t="s">
        <v>666</v>
      </c>
      <c r="R98" t="s">
        <v>175</v>
      </c>
      <c r="S98" t="s">
        <v>176</v>
      </c>
      <c r="T98" t="s">
        <v>5</v>
      </c>
      <c r="U98" t="s">
        <v>177</v>
      </c>
      <c r="V98">
        <v>1</v>
      </c>
      <c r="W98" t="s">
        <v>182</v>
      </c>
      <c r="X98" t="s">
        <v>183</v>
      </c>
      <c r="Z98" t="s">
        <v>184</v>
      </c>
      <c r="AF98">
        <v>46000.791666666701</v>
      </c>
      <c r="AI98" t="s">
        <v>185</v>
      </c>
      <c r="AJ98" t="s">
        <v>186</v>
      </c>
      <c r="AK98" t="s">
        <v>187</v>
      </c>
      <c r="AL98" t="s">
        <v>187</v>
      </c>
      <c r="AM98" t="s">
        <v>188</v>
      </c>
      <c r="AN98" t="s">
        <v>189</v>
      </c>
      <c r="AO98" t="s">
        <v>6</v>
      </c>
      <c r="AP98" t="s">
        <v>9</v>
      </c>
      <c r="AQ98" t="s">
        <v>53</v>
      </c>
      <c r="AR98" t="s">
        <v>190</v>
      </c>
      <c r="AS98" t="s">
        <v>174</v>
      </c>
      <c r="AT98" t="s">
        <v>191</v>
      </c>
    </row>
    <row r="99" spans="1:46" ht="105" x14ac:dyDescent="0.25">
      <c r="A99" s="5">
        <v>46063.645497685182</v>
      </c>
      <c r="B99" t="s">
        <v>667</v>
      </c>
      <c r="C99" t="s">
        <v>173</v>
      </c>
      <c r="D99" t="s">
        <v>174</v>
      </c>
      <c r="E99" t="s">
        <v>147</v>
      </c>
      <c r="H99" t="s">
        <v>175</v>
      </c>
      <c r="I99" t="s">
        <v>176</v>
      </c>
      <c r="J99" t="s">
        <v>5</v>
      </c>
      <c r="K99" t="s">
        <v>177</v>
      </c>
      <c r="L99" s="6" t="s">
        <v>668</v>
      </c>
      <c r="M99" t="s">
        <v>21</v>
      </c>
      <c r="N99" t="s">
        <v>669</v>
      </c>
      <c r="O99" t="s">
        <v>670</v>
      </c>
      <c r="P99" t="s">
        <v>671</v>
      </c>
      <c r="R99" t="s">
        <v>175</v>
      </c>
      <c r="S99" t="s">
        <v>176</v>
      </c>
      <c r="T99" t="s">
        <v>5</v>
      </c>
      <c r="U99" t="s">
        <v>177</v>
      </c>
      <c r="V99">
        <v>1</v>
      </c>
      <c r="W99" t="s">
        <v>182</v>
      </c>
      <c r="X99" t="s">
        <v>183</v>
      </c>
      <c r="Z99" t="s">
        <v>184</v>
      </c>
      <c r="AF99">
        <v>46000.791666666701</v>
      </c>
      <c r="AI99" t="s">
        <v>185</v>
      </c>
      <c r="AJ99" t="s">
        <v>186</v>
      </c>
      <c r="AK99" t="s">
        <v>187</v>
      </c>
      <c r="AL99" t="s">
        <v>187</v>
      </c>
      <c r="AM99" t="s">
        <v>188</v>
      </c>
      <c r="AN99" t="s">
        <v>189</v>
      </c>
      <c r="AO99" t="s">
        <v>6</v>
      </c>
      <c r="AP99" t="s">
        <v>9</v>
      </c>
      <c r="AQ99" t="s">
        <v>53</v>
      </c>
      <c r="AR99" t="s">
        <v>190</v>
      </c>
      <c r="AS99" t="s">
        <v>174</v>
      </c>
      <c r="AT99" t="s">
        <v>191</v>
      </c>
    </row>
    <row r="100" spans="1:46" ht="105" x14ac:dyDescent="0.25">
      <c r="A100" s="5">
        <v>46063.641076388885</v>
      </c>
      <c r="B100" t="s">
        <v>672</v>
      </c>
      <c r="C100" t="s">
        <v>173</v>
      </c>
      <c r="D100" t="s">
        <v>174</v>
      </c>
      <c r="E100" t="s">
        <v>147</v>
      </c>
      <c r="H100" t="s">
        <v>175</v>
      </c>
      <c r="I100" t="s">
        <v>176</v>
      </c>
      <c r="J100" t="s">
        <v>5</v>
      </c>
      <c r="K100" t="s">
        <v>177</v>
      </c>
      <c r="L100" s="6" t="s">
        <v>673</v>
      </c>
      <c r="M100" t="s">
        <v>21</v>
      </c>
      <c r="N100" t="s">
        <v>674</v>
      </c>
      <c r="O100" t="s">
        <v>675</v>
      </c>
      <c r="P100" t="s">
        <v>676</v>
      </c>
      <c r="R100" t="s">
        <v>175</v>
      </c>
      <c r="S100" t="s">
        <v>176</v>
      </c>
      <c r="T100" t="s">
        <v>5</v>
      </c>
      <c r="U100" t="s">
        <v>177</v>
      </c>
      <c r="V100">
        <v>1</v>
      </c>
      <c r="W100" t="s">
        <v>182</v>
      </c>
      <c r="X100" t="s">
        <v>183</v>
      </c>
      <c r="Z100" t="s">
        <v>184</v>
      </c>
      <c r="AF100">
        <v>46000.791666666701</v>
      </c>
      <c r="AI100" t="s">
        <v>185</v>
      </c>
      <c r="AJ100" t="s">
        <v>186</v>
      </c>
      <c r="AK100" t="s">
        <v>187</v>
      </c>
      <c r="AL100" t="s">
        <v>187</v>
      </c>
      <c r="AM100" t="s">
        <v>188</v>
      </c>
      <c r="AN100" t="s">
        <v>189</v>
      </c>
      <c r="AO100" t="s">
        <v>6</v>
      </c>
      <c r="AP100" t="s">
        <v>9</v>
      </c>
      <c r="AQ100" t="s">
        <v>53</v>
      </c>
      <c r="AR100" t="s">
        <v>190</v>
      </c>
      <c r="AS100" t="s">
        <v>174</v>
      </c>
      <c r="AT100" t="s">
        <v>191</v>
      </c>
    </row>
    <row r="101" spans="1:46" ht="105" x14ac:dyDescent="0.25">
      <c r="A101" s="5">
        <v>46063.636307870373</v>
      </c>
      <c r="B101" t="s">
        <v>677</v>
      </c>
      <c r="C101" t="s">
        <v>173</v>
      </c>
      <c r="D101" t="s">
        <v>174</v>
      </c>
      <c r="E101" t="s">
        <v>147</v>
      </c>
      <c r="H101" t="s">
        <v>175</v>
      </c>
      <c r="I101" t="s">
        <v>176</v>
      </c>
      <c r="J101" t="s">
        <v>5</v>
      </c>
      <c r="K101" t="s">
        <v>177</v>
      </c>
      <c r="L101" s="6" t="s">
        <v>678</v>
      </c>
      <c r="M101" t="s">
        <v>21</v>
      </c>
      <c r="N101" t="s">
        <v>679</v>
      </c>
      <c r="O101" t="s">
        <v>680</v>
      </c>
      <c r="P101" t="s">
        <v>681</v>
      </c>
      <c r="R101" t="s">
        <v>175</v>
      </c>
      <c r="S101" t="s">
        <v>176</v>
      </c>
      <c r="T101" t="s">
        <v>5</v>
      </c>
      <c r="U101" t="s">
        <v>177</v>
      </c>
      <c r="V101">
        <v>1</v>
      </c>
      <c r="W101" t="s">
        <v>182</v>
      </c>
      <c r="X101" t="s">
        <v>183</v>
      </c>
      <c r="Z101" t="s">
        <v>184</v>
      </c>
      <c r="AF101">
        <v>45998.791666666701</v>
      </c>
      <c r="AI101" t="s">
        <v>185</v>
      </c>
      <c r="AJ101" t="s">
        <v>186</v>
      </c>
      <c r="AK101" t="s">
        <v>187</v>
      </c>
      <c r="AL101" t="s">
        <v>187</v>
      </c>
      <c r="AM101" t="s">
        <v>188</v>
      </c>
      <c r="AN101" t="s">
        <v>189</v>
      </c>
      <c r="AO101" t="s">
        <v>6</v>
      </c>
      <c r="AP101" t="s">
        <v>9</v>
      </c>
      <c r="AQ101" t="s">
        <v>53</v>
      </c>
      <c r="AR101" t="s">
        <v>190</v>
      </c>
      <c r="AS101" t="s">
        <v>174</v>
      </c>
      <c r="AT101" t="s">
        <v>191</v>
      </c>
    </row>
    <row r="102" spans="1:46" ht="105" x14ac:dyDescent="0.25">
      <c r="A102" s="5">
        <v>46063.631886574076</v>
      </c>
      <c r="B102" t="s">
        <v>682</v>
      </c>
      <c r="C102" t="s">
        <v>173</v>
      </c>
      <c r="D102" t="s">
        <v>174</v>
      </c>
      <c r="E102" t="s">
        <v>147</v>
      </c>
      <c r="H102" t="s">
        <v>175</v>
      </c>
      <c r="I102" t="s">
        <v>176</v>
      </c>
      <c r="J102" t="s">
        <v>5</v>
      </c>
      <c r="K102" t="s">
        <v>177</v>
      </c>
      <c r="L102" s="6" t="s">
        <v>683</v>
      </c>
      <c r="M102" t="s">
        <v>21</v>
      </c>
      <c r="N102" t="s">
        <v>684</v>
      </c>
      <c r="O102" t="s">
        <v>685</v>
      </c>
      <c r="P102" t="s">
        <v>686</v>
      </c>
      <c r="R102" t="s">
        <v>175</v>
      </c>
      <c r="S102" t="s">
        <v>176</v>
      </c>
      <c r="T102" t="s">
        <v>5</v>
      </c>
      <c r="U102" t="s">
        <v>177</v>
      </c>
      <c r="V102">
        <v>1</v>
      </c>
      <c r="W102" t="s">
        <v>182</v>
      </c>
      <c r="X102" t="s">
        <v>183</v>
      </c>
      <c r="Z102" t="s">
        <v>184</v>
      </c>
      <c r="AF102">
        <v>45998.791666666701</v>
      </c>
      <c r="AI102" t="s">
        <v>185</v>
      </c>
      <c r="AJ102" t="s">
        <v>186</v>
      </c>
      <c r="AK102" t="s">
        <v>187</v>
      </c>
      <c r="AL102" t="s">
        <v>187</v>
      </c>
      <c r="AM102" t="s">
        <v>188</v>
      </c>
      <c r="AN102" t="s">
        <v>189</v>
      </c>
      <c r="AO102" t="s">
        <v>6</v>
      </c>
      <c r="AP102" t="s">
        <v>9</v>
      </c>
      <c r="AQ102" t="s">
        <v>53</v>
      </c>
      <c r="AR102" t="s">
        <v>190</v>
      </c>
      <c r="AS102" t="s">
        <v>174</v>
      </c>
      <c r="AT102" t="s">
        <v>191</v>
      </c>
    </row>
    <row r="103" spans="1:46" ht="105" x14ac:dyDescent="0.25">
      <c r="A103" s="5">
        <v>46063.627858796295</v>
      </c>
      <c r="B103" t="s">
        <v>687</v>
      </c>
      <c r="C103" t="s">
        <v>173</v>
      </c>
      <c r="D103" t="s">
        <v>174</v>
      </c>
      <c r="E103" t="s">
        <v>147</v>
      </c>
      <c r="H103" t="s">
        <v>175</v>
      </c>
      <c r="I103" t="s">
        <v>176</v>
      </c>
      <c r="J103" t="s">
        <v>5</v>
      </c>
      <c r="K103" t="s">
        <v>177</v>
      </c>
      <c r="L103" s="6" t="s">
        <v>688</v>
      </c>
      <c r="M103" t="s">
        <v>21</v>
      </c>
      <c r="N103" t="s">
        <v>689</v>
      </c>
      <c r="O103" t="s">
        <v>690</v>
      </c>
      <c r="P103" t="s">
        <v>691</v>
      </c>
      <c r="R103" t="s">
        <v>175</v>
      </c>
      <c r="S103" t="s">
        <v>176</v>
      </c>
      <c r="T103" t="s">
        <v>5</v>
      </c>
      <c r="U103" t="s">
        <v>177</v>
      </c>
      <c r="V103">
        <v>1</v>
      </c>
      <c r="W103" t="s">
        <v>182</v>
      </c>
      <c r="X103" t="s">
        <v>183</v>
      </c>
      <c r="Z103" t="s">
        <v>184</v>
      </c>
      <c r="AF103">
        <v>45998.791666666701</v>
      </c>
      <c r="AI103" t="s">
        <v>185</v>
      </c>
      <c r="AJ103" t="s">
        <v>186</v>
      </c>
      <c r="AK103" t="s">
        <v>187</v>
      </c>
      <c r="AL103" t="s">
        <v>187</v>
      </c>
      <c r="AM103" t="s">
        <v>188</v>
      </c>
      <c r="AN103" t="s">
        <v>189</v>
      </c>
      <c r="AO103" t="s">
        <v>6</v>
      </c>
      <c r="AP103" t="s">
        <v>9</v>
      </c>
      <c r="AQ103" t="s">
        <v>53</v>
      </c>
      <c r="AR103" t="s">
        <v>190</v>
      </c>
      <c r="AS103" t="s">
        <v>174</v>
      </c>
      <c r="AT103" t="s">
        <v>191</v>
      </c>
    </row>
    <row r="104" spans="1:46" ht="210" x14ac:dyDescent="0.25">
      <c r="A104" s="5">
        <v>46079.508055555554</v>
      </c>
      <c r="B104" t="s">
        <v>692</v>
      </c>
      <c r="C104" t="s">
        <v>173</v>
      </c>
      <c r="D104" t="s">
        <v>174</v>
      </c>
      <c r="E104" t="s">
        <v>325</v>
      </c>
      <c r="H104" t="s">
        <v>175</v>
      </c>
      <c r="I104" t="s">
        <v>176</v>
      </c>
      <c r="J104" t="s">
        <v>5</v>
      </c>
      <c r="K104" t="s">
        <v>200</v>
      </c>
      <c r="L104" s="6" t="s">
        <v>693</v>
      </c>
      <c r="M104" t="s">
        <v>112</v>
      </c>
      <c r="N104" t="s">
        <v>694</v>
      </c>
      <c r="O104" t="s">
        <v>695</v>
      </c>
      <c r="Q104">
        <v>6</v>
      </c>
      <c r="R104" t="s">
        <v>175</v>
      </c>
      <c r="S104" t="s">
        <v>176</v>
      </c>
      <c r="T104" t="s">
        <v>5</v>
      </c>
      <c r="U104" t="s">
        <v>200</v>
      </c>
      <c r="V104">
        <v>52</v>
      </c>
      <c r="W104" t="s">
        <v>377</v>
      </c>
      <c r="X104" t="s">
        <v>450</v>
      </c>
      <c r="Z104" t="s">
        <v>191</v>
      </c>
      <c r="AB104" t="s">
        <v>696</v>
      </c>
      <c r="AF104">
        <v>46043.791666666701</v>
      </c>
      <c r="AI104" t="s">
        <v>220</v>
      </c>
      <c r="AJ104" t="s">
        <v>186</v>
      </c>
      <c r="AK104" t="s">
        <v>640</v>
      </c>
      <c r="AL104" t="s">
        <v>640</v>
      </c>
      <c r="AM104" t="s">
        <v>641</v>
      </c>
      <c r="AN104" t="s">
        <v>189</v>
      </c>
      <c r="AO104" t="s">
        <v>39</v>
      </c>
      <c r="AP104" t="s">
        <v>43</v>
      </c>
      <c r="AQ104" t="s">
        <v>53</v>
      </c>
      <c r="AR104" t="s">
        <v>190</v>
      </c>
      <c r="AS104" t="s">
        <v>174</v>
      </c>
      <c r="AT104" t="s">
        <v>191</v>
      </c>
    </row>
    <row r="105" spans="1:46" ht="135" x14ac:dyDescent="0.25">
      <c r="A105" s="5">
        <v>46055.486435185187</v>
      </c>
      <c r="B105" t="s">
        <v>697</v>
      </c>
      <c r="C105" t="s">
        <v>173</v>
      </c>
      <c r="D105" t="s">
        <v>198</v>
      </c>
      <c r="E105" t="s">
        <v>199</v>
      </c>
      <c r="H105" t="s">
        <v>175</v>
      </c>
      <c r="I105" t="s">
        <v>176</v>
      </c>
      <c r="J105" t="s">
        <v>5</v>
      </c>
      <c r="K105" t="s">
        <v>200</v>
      </c>
      <c r="L105" s="6" t="s">
        <v>698</v>
      </c>
      <c r="M105" t="s">
        <v>13</v>
      </c>
      <c r="N105" t="s">
        <v>699</v>
      </c>
      <c r="O105" t="s">
        <v>700</v>
      </c>
      <c r="P105" t="s">
        <v>701</v>
      </c>
      <c r="Q105">
        <v>1</v>
      </c>
      <c r="R105" t="s">
        <v>175</v>
      </c>
      <c r="S105" t="s">
        <v>176</v>
      </c>
      <c r="T105" t="s">
        <v>702</v>
      </c>
      <c r="U105" t="s">
        <v>177</v>
      </c>
      <c r="V105">
        <v>2</v>
      </c>
      <c r="W105" t="s">
        <v>703</v>
      </c>
      <c r="X105" t="s">
        <v>704</v>
      </c>
      <c r="Z105" t="s">
        <v>661</v>
      </c>
      <c r="AB105" t="s">
        <v>705</v>
      </c>
      <c r="AF105">
        <v>46059.791666666701</v>
      </c>
      <c r="AI105" t="s">
        <v>185</v>
      </c>
      <c r="AJ105" t="s">
        <v>186</v>
      </c>
      <c r="AK105" t="s">
        <v>706</v>
      </c>
      <c r="AL105" t="s">
        <v>706</v>
      </c>
      <c r="AM105" t="s">
        <v>208</v>
      </c>
      <c r="AN105" t="s">
        <v>189</v>
      </c>
      <c r="AO105" t="s">
        <v>16</v>
      </c>
      <c r="AP105" t="s">
        <v>20</v>
      </c>
      <c r="AQ105" t="s">
        <v>53</v>
      </c>
      <c r="AR105" t="s">
        <v>190</v>
      </c>
      <c r="AS105" t="s">
        <v>198</v>
      </c>
      <c r="AT105" t="s">
        <v>347</v>
      </c>
    </row>
    <row r="106" spans="1:46" ht="345" x14ac:dyDescent="0.25">
      <c r="A106" s="5">
        <v>46059.456967592596</v>
      </c>
      <c r="B106" t="s">
        <v>707</v>
      </c>
      <c r="C106" t="s">
        <v>173</v>
      </c>
      <c r="D106" t="s">
        <v>198</v>
      </c>
      <c r="E106" t="s">
        <v>199</v>
      </c>
      <c r="H106" t="s">
        <v>175</v>
      </c>
      <c r="I106" t="s">
        <v>176</v>
      </c>
      <c r="J106" t="s">
        <v>5</v>
      </c>
      <c r="K106" t="s">
        <v>200</v>
      </c>
      <c r="L106" s="6" t="s">
        <v>708</v>
      </c>
      <c r="M106" t="s">
        <v>38</v>
      </c>
      <c r="N106" t="s">
        <v>709</v>
      </c>
      <c r="O106" t="s">
        <v>710</v>
      </c>
      <c r="P106" t="s">
        <v>711</v>
      </c>
      <c r="Q106">
        <v>2</v>
      </c>
      <c r="R106" t="s">
        <v>175</v>
      </c>
      <c r="S106" t="s">
        <v>176</v>
      </c>
      <c r="T106" t="s">
        <v>5</v>
      </c>
      <c r="U106" t="s">
        <v>200</v>
      </c>
      <c r="V106">
        <v>1</v>
      </c>
      <c r="W106" t="s">
        <v>205</v>
      </c>
      <c r="X106" t="s">
        <v>277</v>
      </c>
      <c r="Z106" t="s">
        <v>138</v>
      </c>
      <c r="AB106" t="s">
        <v>712</v>
      </c>
      <c r="AF106">
        <v>46055.791666666701</v>
      </c>
      <c r="AI106" t="s">
        <v>185</v>
      </c>
      <c r="AJ106" t="s">
        <v>186</v>
      </c>
      <c r="AK106" t="s">
        <v>207</v>
      </c>
      <c r="AL106" t="s">
        <v>207</v>
      </c>
      <c r="AM106" t="s">
        <v>208</v>
      </c>
      <c r="AN106" t="s">
        <v>189</v>
      </c>
      <c r="AO106" t="s">
        <v>15</v>
      </c>
      <c r="AP106" t="s">
        <v>19</v>
      </c>
      <c r="AQ106" t="s">
        <v>53</v>
      </c>
      <c r="AR106" t="s">
        <v>190</v>
      </c>
      <c r="AS106" t="s">
        <v>198</v>
      </c>
      <c r="AT106" t="s">
        <v>138</v>
      </c>
    </row>
    <row r="107" spans="1:46" ht="345" x14ac:dyDescent="0.25">
      <c r="A107" s="5">
        <v>46059.456967592596</v>
      </c>
      <c r="B107" t="s">
        <v>707</v>
      </c>
      <c r="C107" t="s">
        <v>173</v>
      </c>
      <c r="D107" t="s">
        <v>198</v>
      </c>
      <c r="E107" t="s">
        <v>199</v>
      </c>
      <c r="H107" t="s">
        <v>175</v>
      </c>
      <c r="I107" t="s">
        <v>176</v>
      </c>
      <c r="J107" t="s">
        <v>5</v>
      </c>
      <c r="K107" t="s">
        <v>200</v>
      </c>
      <c r="L107" s="6" t="s">
        <v>708</v>
      </c>
      <c r="M107" t="s">
        <v>38</v>
      </c>
      <c r="N107" t="s">
        <v>709</v>
      </c>
      <c r="O107" t="s">
        <v>710</v>
      </c>
      <c r="P107" t="s">
        <v>711</v>
      </c>
      <c r="Q107">
        <v>3</v>
      </c>
      <c r="R107" t="s">
        <v>175</v>
      </c>
      <c r="S107" t="s">
        <v>176</v>
      </c>
      <c r="T107" t="s">
        <v>5</v>
      </c>
      <c r="U107" t="s">
        <v>200</v>
      </c>
      <c r="V107">
        <v>5</v>
      </c>
      <c r="W107" t="s">
        <v>205</v>
      </c>
      <c r="X107" t="s">
        <v>277</v>
      </c>
      <c r="Z107" t="s">
        <v>138</v>
      </c>
      <c r="AB107" t="s">
        <v>713</v>
      </c>
      <c r="AF107">
        <v>46055.791666666701</v>
      </c>
      <c r="AI107" t="s">
        <v>185</v>
      </c>
      <c r="AJ107" t="s">
        <v>186</v>
      </c>
      <c r="AK107" t="s">
        <v>207</v>
      </c>
      <c r="AL107" t="s">
        <v>207</v>
      </c>
      <c r="AM107" t="s">
        <v>208</v>
      </c>
      <c r="AN107" t="s">
        <v>189</v>
      </c>
      <c r="AO107" t="s">
        <v>15</v>
      </c>
      <c r="AP107" t="s">
        <v>19</v>
      </c>
      <c r="AQ107" t="s">
        <v>53</v>
      </c>
      <c r="AR107" t="s">
        <v>190</v>
      </c>
      <c r="AS107" t="s">
        <v>198</v>
      </c>
      <c r="AT107" t="s">
        <v>138</v>
      </c>
    </row>
    <row r="108" spans="1:46" ht="180" x14ac:dyDescent="0.25">
      <c r="A108" s="5">
        <v>46073.608298611114</v>
      </c>
      <c r="B108" t="s">
        <v>714</v>
      </c>
      <c r="C108" t="s">
        <v>173</v>
      </c>
      <c r="D108" t="s">
        <v>174</v>
      </c>
      <c r="E108" t="s">
        <v>184</v>
      </c>
      <c r="H108" t="s">
        <v>175</v>
      </c>
      <c r="I108" t="s">
        <v>176</v>
      </c>
      <c r="J108" t="s">
        <v>5</v>
      </c>
      <c r="K108" t="s">
        <v>200</v>
      </c>
      <c r="L108" s="6" t="s">
        <v>715</v>
      </c>
      <c r="M108" t="s">
        <v>59</v>
      </c>
      <c r="N108" t="s">
        <v>716</v>
      </c>
      <c r="O108" t="s">
        <v>717</v>
      </c>
      <c r="P108" t="s">
        <v>718</v>
      </c>
      <c r="Q108">
        <v>14</v>
      </c>
      <c r="R108" t="s">
        <v>175</v>
      </c>
      <c r="S108" t="s">
        <v>176</v>
      </c>
      <c r="T108" t="s">
        <v>11</v>
      </c>
      <c r="U108" t="s">
        <v>200</v>
      </c>
      <c r="V108">
        <v>2</v>
      </c>
      <c r="W108" t="s">
        <v>719</v>
      </c>
      <c r="X108" t="s">
        <v>720</v>
      </c>
      <c r="Z108" t="s">
        <v>721</v>
      </c>
      <c r="AB108" t="s">
        <v>722</v>
      </c>
      <c r="AF108">
        <v>46065.791666666701</v>
      </c>
      <c r="AI108" t="s">
        <v>220</v>
      </c>
      <c r="AJ108" t="s">
        <v>186</v>
      </c>
      <c r="AK108" t="s">
        <v>207</v>
      </c>
      <c r="AL108" t="s">
        <v>207</v>
      </c>
      <c r="AM108" t="s">
        <v>188</v>
      </c>
      <c r="AN108" t="s">
        <v>189</v>
      </c>
      <c r="AO108" t="s">
        <v>49</v>
      </c>
      <c r="AP108" t="s">
        <v>49</v>
      </c>
      <c r="AQ108" t="s">
        <v>53</v>
      </c>
      <c r="AR108" t="s">
        <v>190</v>
      </c>
      <c r="AS108" t="s">
        <v>174</v>
      </c>
      <c r="AT108" t="s">
        <v>191</v>
      </c>
    </row>
    <row r="109" spans="1:46" ht="180" x14ac:dyDescent="0.25">
      <c r="A109" s="5">
        <v>46073.608298611114</v>
      </c>
      <c r="B109" t="s">
        <v>714</v>
      </c>
      <c r="C109" t="s">
        <v>173</v>
      </c>
      <c r="D109" t="s">
        <v>174</v>
      </c>
      <c r="E109" t="s">
        <v>184</v>
      </c>
      <c r="H109" t="s">
        <v>175</v>
      </c>
      <c r="I109" t="s">
        <v>176</v>
      </c>
      <c r="J109" t="s">
        <v>5</v>
      </c>
      <c r="K109" t="s">
        <v>200</v>
      </c>
      <c r="L109" s="6" t="s">
        <v>715</v>
      </c>
      <c r="M109" t="s">
        <v>59</v>
      </c>
      <c r="N109" t="s">
        <v>716</v>
      </c>
      <c r="O109" t="s">
        <v>717</v>
      </c>
      <c r="P109" t="s">
        <v>718</v>
      </c>
      <c r="Q109">
        <v>15</v>
      </c>
      <c r="R109" t="s">
        <v>175</v>
      </c>
      <c r="S109" t="s">
        <v>176</v>
      </c>
      <c r="T109" t="s">
        <v>11</v>
      </c>
      <c r="U109" t="s">
        <v>200</v>
      </c>
      <c r="V109">
        <v>2</v>
      </c>
      <c r="W109" t="s">
        <v>719</v>
      </c>
      <c r="X109" t="s">
        <v>720</v>
      </c>
      <c r="Z109" t="s">
        <v>721</v>
      </c>
      <c r="AB109" t="s">
        <v>723</v>
      </c>
      <c r="AF109">
        <v>46065.791666666701</v>
      </c>
      <c r="AI109" t="s">
        <v>220</v>
      </c>
      <c r="AJ109" t="s">
        <v>186</v>
      </c>
      <c r="AK109" t="s">
        <v>207</v>
      </c>
      <c r="AL109" t="s">
        <v>207</v>
      </c>
      <c r="AM109" t="s">
        <v>188</v>
      </c>
      <c r="AN109" t="s">
        <v>189</v>
      </c>
      <c r="AO109" t="s">
        <v>49</v>
      </c>
      <c r="AP109" t="s">
        <v>49</v>
      </c>
      <c r="AQ109" t="s">
        <v>53</v>
      </c>
      <c r="AR109" t="s">
        <v>190</v>
      </c>
      <c r="AS109" t="s">
        <v>174</v>
      </c>
      <c r="AT109" t="s">
        <v>191</v>
      </c>
    </row>
    <row r="110" spans="1:46" ht="75" x14ac:dyDescent="0.25">
      <c r="A110" s="5">
        <v>46074.663194444445</v>
      </c>
      <c r="B110" t="s">
        <v>724</v>
      </c>
      <c r="C110" t="s">
        <v>173</v>
      </c>
      <c r="D110" t="s">
        <v>198</v>
      </c>
      <c r="E110" t="s">
        <v>199</v>
      </c>
      <c r="H110" t="s">
        <v>175</v>
      </c>
      <c r="I110" t="s">
        <v>176</v>
      </c>
      <c r="J110" t="s">
        <v>5</v>
      </c>
      <c r="K110" t="s">
        <v>200</v>
      </c>
      <c r="L110" s="6" t="s">
        <v>725</v>
      </c>
      <c r="M110" t="s">
        <v>34</v>
      </c>
      <c r="N110" t="s">
        <v>726</v>
      </c>
      <c r="O110" t="s">
        <v>727</v>
      </c>
      <c r="P110" t="s">
        <v>728</v>
      </c>
      <c r="R110" t="s">
        <v>175</v>
      </c>
      <c r="S110" t="s">
        <v>176</v>
      </c>
      <c r="T110" t="s">
        <v>5</v>
      </c>
      <c r="U110" t="s">
        <v>200</v>
      </c>
      <c r="V110">
        <v>1</v>
      </c>
      <c r="W110" t="s">
        <v>205</v>
      </c>
      <c r="X110" t="s">
        <v>277</v>
      </c>
      <c r="Z110" t="s">
        <v>138</v>
      </c>
      <c r="AF110">
        <v>45993.791666666701</v>
      </c>
      <c r="AI110" t="s">
        <v>185</v>
      </c>
      <c r="AJ110" t="s">
        <v>186</v>
      </c>
      <c r="AK110" t="s">
        <v>278</v>
      </c>
      <c r="AL110" t="s">
        <v>278</v>
      </c>
      <c r="AM110" t="s">
        <v>208</v>
      </c>
      <c r="AN110" t="s">
        <v>189</v>
      </c>
      <c r="AO110" t="s">
        <v>15</v>
      </c>
      <c r="AP110" t="s">
        <v>19</v>
      </c>
      <c r="AQ110" t="s">
        <v>53</v>
      </c>
      <c r="AR110" t="s">
        <v>190</v>
      </c>
      <c r="AS110" t="s">
        <v>198</v>
      </c>
      <c r="AT110" t="s">
        <v>138</v>
      </c>
    </row>
    <row r="111" spans="1:46" ht="75" x14ac:dyDescent="0.25">
      <c r="A111" s="5">
        <v>46073.423483796294</v>
      </c>
      <c r="B111" t="s">
        <v>729</v>
      </c>
      <c r="C111" t="s">
        <v>173</v>
      </c>
      <c r="D111" t="s">
        <v>174</v>
      </c>
      <c r="E111" t="s">
        <v>325</v>
      </c>
      <c r="H111" t="s">
        <v>175</v>
      </c>
      <c r="I111" t="s">
        <v>176</v>
      </c>
      <c r="J111" t="s">
        <v>5</v>
      </c>
      <c r="K111" t="s">
        <v>200</v>
      </c>
      <c r="L111" s="6" t="s">
        <v>730</v>
      </c>
      <c r="M111" t="s">
        <v>105</v>
      </c>
      <c r="N111" t="s">
        <v>731</v>
      </c>
      <c r="O111" t="s">
        <v>732</v>
      </c>
      <c r="P111" t="s">
        <v>733</v>
      </c>
      <c r="Q111">
        <v>1</v>
      </c>
      <c r="R111" t="s">
        <v>175</v>
      </c>
      <c r="S111" t="s">
        <v>176</v>
      </c>
      <c r="T111" t="s">
        <v>5</v>
      </c>
      <c r="U111" t="s">
        <v>200</v>
      </c>
      <c r="V111">
        <v>16</v>
      </c>
      <c r="W111" t="s">
        <v>330</v>
      </c>
      <c r="X111" t="s">
        <v>331</v>
      </c>
      <c r="Z111" t="s">
        <v>191</v>
      </c>
      <c r="AB111" t="s">
        <v>734</v>
      </c>
      <c r="AF111">
        <v>46035.791666666701</v>
      </c>
      <c r="AI111" t="s">
        <v>220</v>
      </c>
      <c r="AJ111" t="s">
        <v>186</v>
      </c>
      <c r="AK111" t="s">
        <v>207</v>
      </c>
      <c r="AL111" t="s">
        <v>207</v>
      </c>
      <c r="AM111" t="s">
        <v>208</v>
      </c>
      <c r="AN111" t="s">
        <v>189</v>
      </c>
      <c r="AO111" t="s">
        <v>26</v>
      </c>
      <c r="AP111" t="s">
        <v>32</v>
      </c>
      <c r="AQ111" t="s">
        <v>53</v>
      </c>
      <c r="AR111" t="s">
        <v>190</v>
      </c>
      <c r="AS111" t="s">
        <v>174</v>
      </c>
      <c r="AT111" t="s">
        <v>191</v>
      </c>
    </row>
    <row r="112" spans="1:46" ht="180" x14ac:dyDescent="0.25">
      <c r="A112" s="5">
        <v>46071.503668981481</v>
      </c>
      <c r="B112" t="s">
        <v>735</v>
      </c>
      <c r="C112" t="s">
        <v>173</v>
      </c>
      <c r="D112" t="s">
        <v>174</v>
      </c>
      <c r="E112" t="s">
        <v>147</v>
      </c>
      <c r="H112" t="s">
        <v>175</v>
      </c>
      <c r="I112" t="s">
        <v>176</v>
      </c>
      <c r="J112" t="s">
        <v>5</v>
      </c>
      <c r="K112" t="s">
        <v>177</v>
      </c>
      <c r="L112" s="6" t="s">
        <v>736</v>
      </c>
      <c r="M112" t="s">
        <v>7</v>
      </c>
      <c r="N112" t="s">
        <v>737</v>
      </c>
      <c r="O112" t="s">
        <v>738</v>
      </c>
      <c r="P112" t="s">
        <v>739</v>
      </c>
      <c r="R112" t="s">
        <v>175</v>
      </c>
      <c r="S112" t="s">
        <v>176</v>
      </c>
      <c r="T112" t="s">
        <v>5</v>
      </c>
      <c r="U112" t="s">
        <v>177</v>
      </c>
      <c r="V112">
        <v>1</v>
      </c>
      <c r="W112" t="s">
        <v>182</v>
      </c>
      <c r="X112" t="s">
        <v>183</v>
      </c>
      <c r="Z112" t="s">
        <v>184</v>
      </c>
      <c r="AF112">
        <v>45811.833333333299</v>
      </c>
      <c r="AI112" t="s">
        <v>185</v>
      </c>
      <c r="AJ112" t="s">
        <v>186</v>
      </c>
      <c r="AK112" t="s">
        <v>187</v>
      </c>
      <c r="AL112" t="s">
        <v>187</v>
      </c>
      <c r="AM112" t="s">
        <v>188</v>
      </c>
      <c r="AN112" t="s">
        <v>189</v>
      </c>
      <c r="AO112" t="s">
        <v>6</v>
      </c>
      <c r="AP112" t="s">
        <v>9</v>
      </c>
      <c r="AQ112" t="s">
        <v>53</v>
      </c>
      <c r="AR112" t="s">
        <v>190</v>
      </c>
      <c r="AS112" t="s">
        <v>174</v>
      </c>
      <c r="AT112" t="s">
        <v>191</v>
      </c>
    </row>
    <row r="113" spans="1:46" ht="105" x14ac:dyDescent="0.25">
      <c r="A113" s="5">
        <v>46063.576018518521</v>
      </c>
      <c r="B113" t="s">
        <v>740</v>
      </c>
      <c r="C113" t="s">
        <v>173</v>
      </c>
      <c r="D113" t="s">
        <v>174</v>
      </c>
      <c r="E113" t="s">
        <v>147</v>
      </c>
      <c r="H113" t="s">
        <v>175</v>
      </c>
      <c r="I113" t="s">
        <v>176</v>
      </c>
      <c r="J113" t="s">
        <v>5</v>
      </c>
      <c r="K113" t="s">
        <v>177</v>
      </c>
      <c r="L113" s="6" t="s">
        <v>268</v>
      </c>
      <c r="M113" t="s">
        <v>7</v>
      </c>
      <c r="N113" t="s">
        <v>741</v>
      </c>
      <c r="O113" t="s">
        <v>742</v>
      </c>
      <c r="P113" t="s">
        <v>743</v>
      </c>
      <c r="R113" t="s">
        <v>175</v>
      </c>
      <c r="S113" t="s">
        <v>176</v>
      </c>
      <c r="T113" t="s">
        <v>5</v>
      </c>
      <c r="U113" t="s">
        <v>177</v>
      </c>
      <c r="V113">
        <v>1</v>
      </c>
      <c r="W113" t="s">
        <v>182</v>
      </c>
      <c r="X113" t="s">
        <v>183</v>
      </c>
      <c r="Z113" t="s">
        <v>184</v>
      </c>
      <c r="AF113">
        <v>45981.791666666701</v>
      </c>
      <c r="AI113" t="s">
        <v>185</v>
      </c>
      <c r="AJ113" t="s">
        <v>186</v>
      </c>
      <c r="AK113" t="s">
        <v>187</v>
      </c>
      <c r="AL113" t="s">
        <v>187</v>
      </c>
      <c r="AM113" t="s">
        <v>188</v>
      </c>
      <c r="AN113" t="s">
        <v>189</v>
      </c>
      <c r="AO113" t="s">
        <v>6</v>
      </c>
      <c r="AP113" t="s">
        <v>9</v>
      </c>
      <c r="AQ113" t="s">
        <v>53</v>
      </c>
      <c r="AR113" t="s">
        <v>190</v>
      </c>
      <c r="AS113" t="s">
        <v>174</v>
      </c>
      <c r="AT113" t="s">
        <v>191</v>
      </c>
    </row>
    <row r="114" spans="1:46" ht="105" x14ac:dyDescent="0.25">
      <c r="A114" s="5">
        <v>46063.582615740743</v>
      </c>
      <c r="B114" t="s">
        <v>744</v>
      </c>
      <c r="C114" t="s">
        <v>173</v>
      </c>
      <c r="D114" t="s">
        <v>174</v>
      </c>
      <c r="E114" t="s">
        <v>147</v>
      </c>
      <c r="H114" t="s">
        <v>175</v>
      </c>
      <c r="I114" t="s">
        <v>176</v>
      </c>
      <c r="J114" t="s">
        <v>5</v>
      </c>
      <c r="K114" t="s">
        <v>177</v>
      </c>
      <c r="L114" s="6" t="s">
        <v>745</v>
      </c>
      <c r="M114" t="s">
        <v>7</v>
      </c>
      <c r="N114" t="s">
        <v>746</v>
      </c>
      <c r="O114" t="s">
        <v>747</v>
      </c>
      <c r="P114" t="s">
        <v>748</v>
      </c>
      <c r="R114" t="s">
        <v>175</v>
      </c>
      <c r="S114" t="s">
        <v>176</v>
      </c>
      <c r="T114" t="s">
        <v>5</v>
      </c>
      <c r="U114" t="s">
        <v>177</v>
      </c>
      <c r="V114">
        <v>1</v>
      </c>
      <c r="W114" t="s">
        <v>182</v>
      </c>
      <c r="X114" t="s">
        <v>183</v>
      </c>
      <c r="Z114" t="s">
        <v>184</v>
      </c>
      <c r="AF114">
        <v>45985.791666666701</v>
      </c>
      <c r="AI114" t="s">
        <v>185</v>
      </c>
      <c r="AJ114" t="s">
        <v>186</v>
      </c>
      <c r="AK114" t="s">
        <v>187</v>
      </c>
      <c r="AL114" t="s">
        <v>187</v>
      </c>
      <c r="AM114" t="s">
        <v>188</v>
      </c>
      <c r="AN114" t="s">
        <v>189</v>
      </c>
      <c r="AO114" t="s">
        <v>6</v>
      </c>
      <c r="AP114" t="s">
        <v>9</v>
      </c>
      <c r="AQ114" t="s">
        <v>53</v>
      </c>
      <c r="AR114" t="s">
        <v>190</v>
      </c>
      <c r="AS114" t="s">
        <v>174</v>
      </c>
      <c r="AT114" t="s">
        <v>191</v>
      </c>
    </row>
    <row r="115" spans="1:46" ht="105" x14ac:dyDescent="0.25">
      <c r="A115" s="5">
        <v>46063.628541666665</v>
      </c>
      <c r="B115" t="s">
        <v>749</v>
      </c>
      <c r="C115" t="s">
        <v>173</v>
      </c>
      <c r="D115" t="s">
        <v>174</v>
      </c>
      <c r="E115" t="s">
        <v>210</v>
      </c>
      <c r="G115" t="s">
        <v>211</v>
      </c>
      <c r="H115" t="s">
        <v>175</v>
      </c>
      <c r="I115" t="s">
        <v>176</v>
      </c>
      <c r="J115" t="s">
        <v>5</v>
      </c>
      <c r="K115" t="s">
        <v>200</v>
      </c>
      <c r="L115" s="6" t="s">
        <v>750</v>
      </c>
      <c r="M115" t="s">
        <v>55</v>
      </c>
      <c r="N115" t="s">
        <v>751</v>
      </c>
      <c r="O115" t="s">
        <v>752</v>
      </c>
      <c r="P115" t="s">
        <v>753</v>
      </c>
      <c r="R115" t="s">
        <v>175</v>
      </c>
      <c r="S115" t="s">
        <v>176</v>
      </c>
      <c r="T115" t="s">
        <v>5</v>
      </c>
      <c r="U115" t="s">
        <v>200</v>
      </c>
      <c r="V115">
        <v>1</v>
      </c>
      <c r="W115" t="s">
        <v>397</v>
      </c>
      <c r="X115" t="s">
        <v>637</v>
      </c>
      <c r="Z115" t="s">
        <v>191</v>
      </c>
      <c r="AB115" t="s">
        <v>754</v>
      </c>
      <c r="AC115" t="s">
        <v>400</v>
      </c>
      <c r="AF115">
        <v>45995.791666666701</v>
      </c>
      <c r="AI115" t="s">
        <v>220</v>
      </c>
      <c r="AJ115" t="s">
        <v>186</v>
      </c>
      <c r="AK115" t="s">
        <v>492</v>
      </c>
      <c r="AL115" t="s">
        <v>492</v>
      </c>
      <c r="AM115" t="s">
        <v>208</v>
      </c>
      <c r="AN115" t="s">
        <v>189</v>
      </c>
      <c r="AO115" t="s">
        <v>27</v>
      </c>
      <c r="AP115" t="s">
        <v>30</v>
      </c>
      <c r="AQ115" t="s">
        <v>53</v>
      </c>
      <c r="AR115" t="s">
        <v>190</v>
      </c>
      <c r="AS115" t="s">
        <v>174</v>
      </c>
      <c r="AT115" t="s">
        <v>191</v>
      </c>
    </row>
    <row r="116" spans="1:46" ht="105" x14ac:dyDescent="0.25">
      <c r="A116" s="5">
        <v>46063.586759259262</v>
      </c>
      <c r="B116" t="s">
        <v>755</v>
      </c>
      <c r="C116" t="s">
        <v>173</v>
      </c>
      <c r="D116" t="s">
        <v>174</v>
      </c>
      <c r="E116" t="s">
        <v>147</v>
      </c>
      <c r="H116" t="s">
        <v>175</v>
      </c>
      <c r="I116" t="s">
        <v>176</v>
      </c>
      <c r="J116" t="s">
        <v>5</v>
      </c>
      <c r="K116" t="s">
        <v>177</v>
      </c>
      <c r="L116" s="6" t="s">
        <v>756</v>
      </c>
      <c r="M116" t="s">
        <v>7</v>
      </c>
      <c r="N116" t="s">
        <v>757</v>
      </c>
      <c r="O116" t="s">
        <v>758</v>
      </c>
      <c r="P116" t="s">
        <v>759</v>
      </c>
      <c r="R116" t="s">
        <v>175</v>
      </c>
      <c r="S116" t="s">
        <v>176</v>
      </c>
      <c r="T116" t="s">
        <v>5</v>
      </c>
      <c r="U116" t="s">
        <v>177</v>
      </c>
      <c r="V116">
        <v>1</v>
      </c>
      <c r="W116" t="s">
        <v>182</v>
      </c>
      <c r="X116" t="s">
        <v>183</v>
      </c>
      <c r="Z116" t="s">
        <v>184</v>
      </c>
      <c r="AF116">
        <v>45985.791666666701</v>
      </c>
      <c r="AI116" t="s">
        <v>185</v>
      </c>
      <c r="AJ116" t="s">
        <v>186</v>
      </c>
      <c r="AK116" t="s">
        <v>187</v>
      </c>
      <c r="AL116" t="s">
        <v>187</v>
      </c>
      <c r="AM116" t="s">
        <v>188</v>
      </c>
      <c r="AN116" t="s">
        <v>189</v>
      </c>
      <c r="AO116" t="s">
        <v>6</v>
      </c>
      <c r="AP116" t="s">
        <v>9</v>
      </c>
      <c r="AQ116" t="s">
        <v>53</v>
      </c>
      <c r="AR116" t="s">
        <v>190</v>
      </c>
      <c r="AS116" t="s">
        <v>174</v>
      </c>
      <c r="AT116" t="s">
        <v>191</v>
      </c>
    </row>
    <row r="117" spans="1:46" ht="105" x14ac:dyDescent="0.25">
      <c r="A117" s="5">
        <v>46063.591134259259</v>
      </c>
      <c r="B117" t="s">
        <v>760</v>
      </c>
      <c r="C117" t="s">
        <v>173</v>
      </c>
      <c r="D117" t="s">
        <v>174</v>
      </c>
      <c r="E117" t="s">
        <v>147</v>
      </c>
      <c r="H117" t="s">
        <v>175</v>
      </c>
      <c r="I117" t="s">
        <v>176</v>
      </c>
      <c r="J117" t="s">
        <v>5</v>
      </c>
      <c r="K117" t="s">
        <v>177</v>
      </c>
      <c r="L117" s="6" t="s">
        <v>761</v>
      </c>
      <c r="M117" t="s">
        <v>7</v>
      </c>
      <c r="N117" t="s">
        <v>762</v>
      </c>
      <c r="O117" t="s">
        <v>763</v>
      </c>
      <c r="P117" t="s">
        <v>764</v>
      </c>
      <c r="R117" t="s">
        <v>175</v>
      </c>
      <c r="S117" t="s">
        <v>176</v>
      </c>
      <c r="T117" t="s">
        <v>5</v>
      </c>
      <c r="U117" t="s">
        <v>177</v>
      </c>
      <c r="V117">
        <v>1</v>
      </c>
      <c r="W117" t="s">
        <v>182</v>
      </c>
      <c r="X117" t="s">
        <v>183</v>
      </c>
      <c r="Z117" t="s">
        <v>184</v>
      </c>
      <c r="AF117">
        <v>45993.791666666701</v>
      </c>
      <c r="AI117" t="s">
        <v>185</v>
      </c>
      <c r="AJ117" t="s">
        <v>186</v>
      </c>
      <c r="AK117" t="s">
        <v>187</v>
      </c>
      <c r="AL117" t="s">
        <v>187</v>
      </c>
      <c r="AM117" t="s">
        <v>188</v>
      </c>
      <c r="AN117" t="s">
        <v>189</v>
      </c>
      <c r="AO117" t="s">
        <v>6</v>
      </c>
      <c r="AP117" t="s">
        <v>9</v>
      </c>
      <c r="AQ117" t="s">
        <v>53</v>
      </c>
      <c r="AR117" t="s">
        <v>190</v>
      </c>
      <c r="AS117" t="s">
        <v>174</v>
      </c>
      <c r="AT117" t="s">
        <v>191</v>
      </c>
    </row>
    <row r="118" spans="1:46" ht="105" x14ac:dyDescent="0.25">
      <c r="A118" s="5">
        <v>46063.595613425925</v>
      </c>
      <c r="B118" t="s">
        <v>765</v>
      </c>
      <c r="C118" t="s">
        <v>173</v>
      </c>
      <c r="D118" t="s">
        <v>174</v>
      </c>
      <c r="E118" t="s">
        <v>147</v>
      </c>
      <c r="H118" t="s">
        <v>175</v>
      </c>
      <c r="I118" t="s">
        <v>176</v>
      </c>
      <c r="J118" t="s">
        <v>5</v>
      </c>
      <c r="K118" t="s">
        <v>177</v>
      </c>
      <c r="L118" s="6" t="s">
        <v>766</v>
      </c>
      <c r="M118" t="s">
        <v>7</v>
      </c>
      <c r="N118" t="s">
        <v>767</v>
      </c>
      <c r="O118" t="s">
        <v>768</v>
      </c>
      <c r="P118" t="s">
        <v>769</v>
      </c>
      <c r="R118" t="s">
        <v>175</v>
      </c>
      <c r="S118" t="s">
        <v>176</v>
      </c>
      <c r="T118" t="s">
        <v>5</v>
      </c>
      <c r="U118" t="s">
        <v>177</v>
      </c>
      <c r="V118">
        <v>1</v>
      </c>
      <c r="W118" t="s">
        <v>182</v>
      </c>
      <c r="X118" t="s">
        <v>183</v>
      </c>
      <c r="Z118" t="s">
        <v>184</v>
      </c>
      <c r="AF118">
        <v>45998.791666666701</v>
      </c>
      <c r="AI118" t="s">
        <v>185</v>
      </c>
      <c r="AJ118" t="s">
        <v>186</v>
      </c>
      <c r="AK118" t="s">
        <v>187</v>
      </c>
      <c r="AL118" t="s">
        <v>187</v>
      </c>
      <c r="AM118" t="s">
        <v>188</v>
      </c>
      <c r="AN118" t="s">
        <v>189</v>
      </c>
      <c r="AO118" t="s">
        <v>6</v>
      </c>
      <c r="AP118" t="s">
        <v>9</v>
      </c>
      <c r="AQ118" t="s">
        <v>53</v>
      </c>
      <c r="AR118" t="s">
        <v>190</v>
      </c>
      <c r="AS118" t="s">
        <v>174</v>
      </c>
      <c r="AT118" t="s">
        <v>191</v>
      </c>
    </row>
    <row r="119" spans="1:46" ht="105" x14ac:dyDescent="0.25">
      <c r="A119" s="5">
        <v>46063.600104166668</v>
      </c>
      <c r="B119" t="s">
        <v>770</v>
      </c>
      <c r="C119" t="s">
        <v>173</v>
      </c>
      <c r="D119" t="s">
        <v>174</v>
      </c>
      <c r="E119" t="s">
        <v>147</v>
      </c>
      <c r="H119" t="s">
        <v>175</v>
      </c>
      <c r="I119" t="s">
        <v>176</v>
      </c>
      <c r="J119" t="s">
        <v>5</v>
      </c>
      <c r="K119" t="s">
        <v>177</v>
      </c>
      <c r="L119" s="6" t="s">
        <v>771</v>
      </c>
      <c r="M119" t="s">
        <v>7</v>
      </c>
      <c r="N119" t="s">
        <v>772</v>
      </c>
      <c r="O119" t="s">
        <v>773</v>
      </c>
      <c r="P119" t="s">
        <v>774</v>
      </c>
      <c r="R119" t="s">
        <v>175</v>
      </c>
      <c r="S119" t="s">
        <v>176</v>
      </c>
      <c r="T119" t="s">
        <v>5</v>
      </c>
      <c r="U119" t="s">
        <v>177</v>
      </c>
      <c r="V119">
        <v>1</v>
      </c>
      <c r="W119" t="s">
        <v>182</v>
      </c>
      <c r="X119" t="s">
        <v>183</v>
      </c>
      <c r="Z119" t="s">
        <v>184</v>
      </c>
      <c r="AF119">
        <v>45992.791666666701</v>
      </c>
      <c r="AI119" t="s">
        <v>185</v>
      </c>
      <c r="AJ119" t="s">
        <v>186</v>
      </c>
      <c r="AK119" t="s">
        <v>187</v>
      </c>
      <c r="AL119" t="s">
        <v>187</v>
      </c>
      <c r="AM119" t="s">
        <v>188</v>
      </c>
      <c r="AN119" t="s">
        <v>189</v>
      </c>
      <c r="AO119" t="s">
        <v>6</v>
      </c>
      <c r="AP119" t="s">
        <v>9</v>
      </c>
      <c r="AQ119" t="s">
        <v>53</v>
      </c>
      <c r="AR119" t="s">
        <v>190</v>
      </c>
      <c r="AS119" t="s">
        <v>174</v>
      </c>
      <c r="AT119" t="s">
        <v>191</v>
      </c>
    </row>
    <row r="120" spans="1:46" ht="105" x14ac:dyDescent="0.25">
      <c r="A120" s="5">
        <v>46063.604745370372</v>
      </c>
      <c r="B120" t="s">
        <v>775</v>
      </c>
      <c r="C120" t="s">
        <v>173</v>
      </c>
      <c r="D120" t="s">
        <v>174</v>
      </c>
      <c r="E120" t="s">
        <v>147</v>
      </c>
      <c r="H120" t="s">
        <v>175</v>
      </c>
      <c r="I120" t="s">
        <v>176</v>
      </c>
      <c r="J120" t="s">
        <v>5</v>
      </c>
      <c r="K120" t="s">
        <v>177</v>
      </c>
      <c r="L120" s="6" t="s">
        <v>776</v>
      </c>
      <c r="M120" t="s">
        <v>7</v>
      </c>
      <c r="N120" t="s">
        <v>777</v>
      </c>
      <c r="O120" t="s">
        <v>778</v>
      </c>
      <c r="P120" t="s">
        <v>779</v>
      </c>
      <c r="R120" t="s">
        <v>175</v>
      </c>
      <c r="S120" t="s">
        <v>176</v>
      </c>
      <c r="T120" t="s">
        <v>5</v>
      </c>
      <c r="U120" t="s">
        <v>177</v>
      </c>
      <c r="V120">
        <v>1</v>
      </c>
      <c r="W120" t="s">
        <v>182</v>
      </c>
      <c r="X120" t="s">
        <v>183</v>
      </c>
      <c r="Z120" t="s">
        <v>184</v>
      </c>
      <c r="AF120">
        <v>45986.791666666701</v>
      </c>
      <c r="AI120" t="s">
        <v>185</v>
      </c>
      <c r="AJ120" t="s">
        <v>186</v>
      </c>
      <c r="AK120" t="s">
        <v>187</v>
      </c>
      <c r="AL120" t="s">
        <v>187</v>
      </c>
      <c r="AM120" t="s">
        <v>188</v>
      </c>
      <c r="AN120" t="s">
        <v>189</v>
      </c>
      <c r="AO120" t="s">
        <v>6</v>
      </c>
      <c r="AP120" t="s">
        <v>9</v>
      </c>
      <c r="AQ120" t="s">
        <v>53</v>
      </c>
      <c r="AR120" t="s">
        <v>190</v>
      </c>
      <c r="AS120" t="s">
        <v>174</v>
      </c>
      <c r="AT120" t="s">
        <v>191</v>
      </c>
    </row>
    <row r="121" spans="1:46" ht="105" x14ac:dyDescent="0.25">
      <c r="A121" s="5">
        <v>46063.609710648147</v>
      </c>
      <c r="B121" t="s">
        <v>780</v>
      </c>
      <c r="C121" t="s">
        <v>173</v>
      </c>
      <c r="D121" t="s">
        <v>174</v>
      </c>
      <c r="E121" t="s">
        <v>147</v>
      </c>
      <c r="H121" t="s">
        <v>175</v>
      </c>
      <c r="I121" t="s">
        <v>176</v>
      </c>
      <c r="J121" t="s">
        <v>5</v>
      </c>
      <c r="K121" t="s">
        <v>177</v>
      </c>
      <c r="L121" s="6" t="s">
        <v>781</v>
      </c>
      <c r="M121" t="s">
        <v>7</v>
      </c>
      <c r="N121" t="s">
        <v>782</v>
      </c>
      <c r="O121" t="s">
        <v>783</v>
      </c>
      <c r="P121" t="s">
        <v>784</v>
      </c>
      <c r="R121" t="s">
        <v>175</v>
      </c>
      <c r="S121" t="s">
        <v>176</v>
      </c>
      <c r="T121" t="s">
        <v>5</v>
      </c>
      <c r="U121" t="s">
        <v>177</v>
      </c>
      <c r="V121">
        <v>1</v>
      </c>
      <c r="W121" t="s">
        <v>182</v>
      </c>
      <c r="X121" t="s">
        <v>183</v>
      </c>
      <c r="Z121" t="s">
        <v>184</v>
      </c>
      <c r="AF121">
        <v>45986.791666666701</v>
      </c>
      <c r="AI121" t="s">
        <v>185</v>
      </c>
      <c r="AJ121" t="s">
        <v>186</v>
      </c>
      <c r="AK121" t="s">
        <v>187</v>
      </c>
      <c r="AL121" t="s">
        <v>187</v>
      </c>
      <c r="AM121" t="s">
        <v>188</v>
      </c>
      <c r="AN121" t="s">
        <v>189</v>
      </c>
      <c r="AO121" t="s">
        <v>6</v>
      </c>
      <c r="AP121" t="s">
        <v>9</v>
      </c>
      <c r="AQ121" t="s">
        <v>53</v>
      </c>
      <c r="AR121" t="s">
        <v>190</v>
      </c>
      <c r="AS121" t="s">
        <v>174</v>
      </c>
      <c r="AT121" t="s">
        <v>191</v>
      </c>
    </row>
    <row r="122" spans="1:46" ht="105" x14ac:dyDescent="0.25">
      <c r="A122" s="5">
        <v>46063.61791666667</v>
      </c>
      <c r="B122" t="s">
        <v>785</v>
      </c>
      <c r="C122" t="s">
        <v>173</v>
      </c>
      <c r="D122" t="s">
        <v>174</v>
      </c>
      <c r="E122" t="s">
        <v>147</v>
      </c>
      <c r="H122" t="s">
        <v>175</v>
      </c>
      <c r="I122" t="s">
        <v>176</v>
      </c>
      <c r="J122" t="s">
        <v>5</v>
      </c>
      <c r="K122" t="s">
        <v>177</v>
      </c>
      <c r="L122" s="6" t="s">
        <v>786</v>
      </c>
      <c r="M122" t="s">
        <v>21</v>
      </c>
      <c r="N122" t="s">
        <v>787</v>
      </c>
      <c r="O122" t="s">
        <v>788</v>
      </c>
      <c r="P122" t="s">
        <v>789</v>
      </c>
      <c r="R122" t="s">
        <v>175</v>
      </c>
      <c r="S122" t="s">
        <v>176</v>
      </c>
      <c r="T122" t="s">
        <v>5</v>
      </c>
      <c r="U122" t="s">
        <v>177</v>
      </c>
      <c r="V122">
        <v>1</v>
      </c>
      <c r="W122" t="s">
        <v>182</v>
      </c>
      <c r="X122" t="s">
        <v>183</v>
      </c>
      <c r="Z122" t="s">
        <v>184</v>
      </c>
      <c r="AF122">
        <v>45995.791666666701</v>
      </c>
      <c r="AI122" t="s">
        <v>185</v>
      </c>
      <c r="AJ122" t="s">
        <v>186</v>
      </c>
      <c r="AK122" t="s">
        <v>187</v>
      </c>
      <c r="AL122" t="s">
        <v>187</v>
      </c>
      <c r="AM122" t="s">
        <v>188</v>
      </c>
      <c r="AN122" t="s">
        <v>189</v>
      </c>
      <c r="AO122" t="s">
        <v>6</v>
      </c>
      <c r="AP122" t="s">
        <v>9</v>
      </c>
      <c r="AQ122" t="s">
        <v>53</v>
      </c>
      <c r="AR122" t="s">
        <v>190</v>
      </c>
      <c r="AS122" t="s">
        <v>174</v>
      </c>
      <c r="AT122" t="s">
        <v>191</v>
      </c>
    </row>
    <row r="123" spans="1:46" ht="105" x14ac:dyDescent="0.25">
      <c r="A123" s="5">
        <v>46063.623055555552</v>
      </c>
      <c r="B123" t="s">
        <v>790</v>
      </c>
      <c r="C123" t="s">
        <v>173</v>
      </c>
      <c r="D123" t="s">
        <v>174</v>
      </c>
      <c r="E123" t="s">
        <v>147</v>
      </c>
      <c r="H123" t="s">
        <v>175</v>
      </c>
      <c r="I123" t="s">
        <v>176</v>
      </c>
      <c r="J123" t="s">
        <v>5</v>
      </c>
      <c r="K123" t="s">
        <v>177</v>
      </c>
      <c r="L123" s="6" t="s">
        <v>791</v>
      </c>
      <c r="M123" t="s">
        <v>21</v>
      </c>
      <c r="N123" t="s">
        <v>792</v>
      </c>
      <c r="O123" t="s">
        <v>793</v>
      </c>
      <c r="P123" t="s">
        <v>794</v>
      </c>
      <c r="R123" t="s">
        <v>175</v>
      </c>
      <c r="S123" t="s">
        <v>176</v>
      </c>
      <c r="T123" t="s">
        <v>5</v>
      </c>
      <c r="U123" t="s">
        <v>177</v>
      </c>
      <c r="V123">
        <v>1</v>
      </c>
      <c r="W123" t="s">
        <v>182</v>
      </c>
      <c r="X123" t="s">
        <v>183</v>
      </c>
      <c r="Z123" t="s">
        <v>184</v>
      </c>
      <c r="AF123">
        <v>45995.791666666701</v>
      </c>
      <c r="AI123" t="s">
        <v>185</v>
      </c>
      <c r="AJ123" t="s">
        <v>186</v>
      </c>
      <c r="AK123" t="s">
        <v>187</v>
      </c>
      <c r="AL123" t="s">
        <v>187</v>
      </c>
      <c r="AM123" t="s">
        <v>188</v>
      </c>
      <c r="AN123" t="s">
        <v>189</v>
      </c>
      <c r="AO123" t="s">
        <v>6</v>
      </c>
      <c r="AP123" t="s">
        <v>9</v>
      </c>
      <c r="AQ123" t="s">
        <v>53</v>
      </c>
      <c r="AR123" t="s">
        <v>190</v>
      </c>
      <c r="AS123" t="s">
        <v>174</v>
      </c>
      <c r="AT123" t="s">
        <v>191</v>
      </c>
    </row>
    <row r="124" spans="1:46" ht="105" x14ac:dyDescent="0.25">
      <c r="A124" s="5">
        <v>46078.483194444445</v>
      </c>
      <c r="B124" t="s">
        <v>795</v>
      </c>
      <c r="C124" t="s">
        <v>173</v>
      </c>
      <c r="D124" t="s">
        <v>174</v>
      </c>
      <c r="E124" t="s">
        <v>147</v>
      </c>
      <c r="H124" t="s">
        <v>175</v>
      </c>
      <c r="I124" t="s">
        <v>176</v>
      </c>
      <c r="J124" t="s">
        <v>5</v>
      </c>
      <c r="K124" t="s">
        <v>177</v>
      </c>
      <c r="L124" s="6" t="s">
        <v>796</v>
      </c>
      <c r="M124" t="s">
        <v>7</v>
      </c>
      <c r="N124" t="s">
        <v>797</v>
      </c>
      <c r="O124" t="s">
        <v>798</v>
      </c>
      <c r="P124" t="s">
        <v>799</v>
      </c>
      <c r="R124" t="s">
        <v>175</v>
      </c>
      <c r="S124" t="s">
        <v>176</v>
      </c>
      <c r="T124" t="s">
        <v>5</v>
      </c>
      <c r="U124" t="s">
        <v>177</v>
      </c>
      <c r="V124">
        <v>1</v>
      </c>
      <c r="W124" t="s">
        <v>182</v>
      </c>
      <c r="X124" t="s">
        <v>183</v>
      </c>
      <c r="Z124" t="s">
        <v>184</v>
      </c>
      <c r="AF124">
        <v>45977.791666666701</v>
      </c>
      <c r="AI124" t="s">
        <v>185</v>
      </c>
      <c r="AJ124" t="s">
        <v>186</v>
      </c>
      <c r="AK124" t="s">
        <v>187</v>
      </c>
      <c r="AL124" t="s">
        <v>187</v>
      </c>
      <c r="AM124" t="s">
        <v>188</v>
      </c>
      <c r="AN124" t="s">
        <v>189</v>
      </c>
      <c r="AO124" t="s">
        <v>6</v>
      </c>
      <c r="AP124" t="s">
        <v>9</v>
      </c>
      <c r="AQ124" t="s">
        <v>53</v>
      </c>
      <c r="AR124" t="s">
        <v>190</v>
      </c>
      <c r="AS124" t="s">
        <v>174</v>
      </c>
      <c r="AT124" t="s">
        <v>191</v>
      </c>
    </row>
    <row r="125" spans="1:46" ht="180" x14ac:dyDescent="0.25">
      <c r="A125" s="5">
        <v>46071.590856481482</v>
      </c>
      <c r="B125" t="s">
        <v>800</v>
      </c>
      <c r="C125" t="s">
        <v>173</v>
      </c>
      <c r="D125" t="s">
        <v>174</v>
      </c>
      <c r="E125" t="s">
        <v>147</v>
      </c>
      <c r="H125" t="s">
        <v>175</v>
      </c>
      <c r="I125" t="s">
        <v>176</v>
      </c>
      <c r="J125" t="s">
        <v>5</v>
      </c>
      <c r="K125" t="s">
        <v>177</v>
      </c>
      <c r="L125" s="6" t="s">
        <v>801</v>
      </c>
      <c r="M125" t="s">
        <v>7</v>
      </c>
      <c r="N125" t="s">
        <v>802</v>
      </c>
      <c r="O125" t="s">
        <v>803</v>
      </c>
      <c r="P125" t="s">
        <v>804</v>
      </c>
      <c r="R125" t="s">
        <v>175</v>
      </c>
      <c r="S125" t="s">
        <v>176</v>
      </c>
      <c r="T125" t="s">
        <v>5</v>
      </c>
      <c r="U125" t="s">
        <v>177</v>
      </c>
      <c r="V125">
        <v>1</v>
      </c>
      <c r="W125" t="s">
        <v>182</v>
      </c>
      <c r="X125" t="s">
        <v>183</v>
      </c>
      <c r="Z125" t="s">
        <v>184</v>
      </c>
      <c r="AF125">
        <v>45817.833333333299</v>
      </c>
      <c r="AI125" t="s">
        <v>185</v>
      </c>
      <c r="AJ125" t="s">
        <v>186</v>
      </c>
      <c r="AK125" t="s">
        <v>187</v>
      </c>
      <c r="AL125" t="s">
        <v>187</v>
      </c>
      <c r="AM125" t="s">
        <v>188</v>
      </c>
      <c r="AN125" t="s">
        <v>189</v>
      </c>
      <c r="AO125" t="s">
        <v>6</v>
      </c>
      <c r="AP125" t="s">
        <v>9</v>
      </c>
      <c r="AQ125" t="s">
        <v>53</v>
      </c>
      <c r="AR125" t="s">
        <v>190</v>
      </c>
      <c r="AS125" t="s">
        <v>174</v>
      </c>
      <c r="AT125" t="s">
        <v>191</v>
      </c>
    </row>
    <row r="126" spans="1:46" ht="45" x14ac:dyDescent="0.25">
      <c r="A126" s="5">
        <v>46063.427789351852</v>
      </c>
      <c r="B126" t="s">
        <v>805</v>
      </c>
      <c r="C126" t="s">
        <v>173</v>
      </c>
      <c r="D126" t="s">
        <v>198</v>
      </c>
      <c r="E126" t="s">
        <v>199</v>
      </c>
      <c r="H126" t="s">
        <v>175</v>
      </c>
      <c r="I126" t="s">
        <v>176</v>
      </c>
      <c r="J126" t="s">
        <v>5</v>
      </c>
      <c r="K126" t="s">
        <v>200</v>
      </c>
      <c r="L126" s="6" t="s">
        <v>806</v>
      </c>
      <c r="M126" t="s">
        <v>125</v>
      </c>
      <c r="N126" t="s">
        <v>807</v>
      </c>
      <c r="O126" t="s">
        <v>808</v>
      </c>
      <c r="P126" t="s">
        <v>809</v>
      </c>
      <c r="R126" t="s">
        <v>175</v>
      </c>
      <c r="S126" t="s">
        <v>176</v>
      </c>
      <c r="T126" t="s">
        <v>5</v>
      </c>
      <c r="U126" t="s">
        <v>200</v>
      </c>
      <c r="V126">
        <v>1</v>
      </c>
      <c r="W126" t="s">
        <v>810</v>
      </c>
      <c r="X126" t="s">
        <v>810</v>
      </c>
      <c r="Z126" t="s">
        <v>811</v>
      </c>
      <c r="AF126">
        <v>45994.791666666701</v>
      </c>
      <c r="AI126" t="s">
        <v>185</v>
      </c>
      <c r="AJ126" t="s">
        <v>186</v>
      </c>
      <c r="AK126" t="s">
        <v>207</v>
      </c>
      <c r="AL126" t="s">
        <v>207</v>
      </c>
      <c r="AM126" t="s">
        <v>208</v>
      </c>
      <c r="AN126" t="s">
        <v>189</v>
      </c>
      <c r="AO126" t="e">
        <v>#VALUE!</v>
      </c>
      <c r="AP126" t="e">
        <v>#VALUE!</v>
      </c>
      <c r="AQ126" t="s">
        <v>53</v>
      </c>
      <c r="AR126" t="s">
        <v>190</v>
      </c>
      <c r="AS126" t="s">
        <v>198</v>
      </c>
      <c r="AT126" t="s">
        <v>347</v>
      </c>
    </row>
    <row r="127" spans="1:46" ht="120" x14ac:dyDescent="0.25">
      <c r="A127" s="5">
        <v>46077.603541666664</v>
      </c>
      <c r="B127" t="s">
        <v>812</v>
      </c>
      <c r="C127" t="s">
        <v>173</v>
      </c>
      <c r="D127" t="s">
        <v>174</v>
      </c>
      <c r="E127" t="s">
        <v>147</v>
      </c>
      <c r="H127" t="s">
        <v>175</v>
      </c>
      <c r="I127" t="s">
        <v>176</v>
      </c>
      <c r="J127" t="s">
        <v>5</v>
      </c>
      <c r="K127" t="s">
        <v>177</v>
      </c>
      <c r="L127" s="6" t="s">
        <v>813</v>
      </c>
      <c r="M127" t="s">
        <v>73</v>
      </c>
      <c r="N127" t="s">
        <v>814</v>
      </c>
      <c r="O127" t="s">
        <v>815</v>
      </c>
      <c r="P127" t="s">
        <v>816</v>
      </c>
      <c r="R127" t="s">
        <v>175</v>
      </c>
      <c r="S127" t="s">
        <v>176</v>
      </c>
      <c r="T127" t="s">
        <v>5</v>
      </c>
      <c r="U127" t="s">
        <v>177</v>
      </c>
      <c r="V127">
        <v>1</v>
      </c>
      <c r="W127" t="s">
        <v>182</v>
      </c>
      <c r="X127" t="s">
        <v>183</v>
      </c>
      <c r="Z127" t="s">
        <v>184</v>
      </c>
      <c r="AF127">
        <v>45922.833333333299</v>
      </c>
      <c r="AI127" t="s">
        <v>185</v>
      </c>
      <c r="AJ127" t="s">
        <v>186</v>
      </c>
      <c r="AK127" t="s">
        <v>187</v>
      </c>
      <c r="AL127" t="s">
        <v>187</v>
      </c>
      <c r="AM127" t="s">
        <v>188</v>
      </c>
      <c r="AN127" t="s">
        <v>189</v>
      </c>
      <c r="AO127" t="s">
        <v>6</v>
      </c>
      <c r="AP127" t="s">
        <v>9</v>
      </c>
      <c r="AQ127" t="s">
        <v>53</v>
      </c>
      <c r="AR127" t="s">
        <v>190</v>
      </c>
      <c r="AS127" t="s">
        <v>174</v>
      </c>
      <c r="AT127" t="s">
        <v>191</v>
      </c>
    </row>
    <row r="128" spans="1:46" ht="120" x14ac:dyDescent="0.25">
      <c r="A128" s="5">
        <v>46072.547743055555</v>
      </c>
      <c r="B128" t="s">
        <v>817</v>
      </c>
      <c r="C128" t="s">
        <v>173</v>
      </c>
      <c r="D128" t="s">
        <v>174</v>
      </c>
      <c r="E128" t="s">
        <v>184</v>
      </c>
      <c r="H128" t="s">
        <v>175</v>
      </c>
      <c r="I128" t="s">
        <v>176</v>
      </c>
      <c r="J128" t="s">
        <v>5</v>
      </c>
      <c r="K128" t="s">
        <v>200</v>
      </c>
      <c r="L128" s="6" t="s">
        <v>818</v>
      </c>
      <c r="M128" t="s">
        <v>106</v>
      </c>
      <c r="N128" t="s">
        <v>819</v>
      </c>
      <c r="O128" t="s">
        <v>820</v>
      </c>
      <c r="P128" t="s">
        <v>821</v>
      </c>
      <c r="AJ128" t="s">
        <v>186</v>
      </c>
      <c r="AK128" t="s">
        <v>822</v>
      </c>
      <c r="AL128" t="s">
        <v>822</v>
      </c>
      <c r="AM128" t="s">
        <v>208</v>
      </c>
      <c r="AN128" t="s">
        <v>189</v>
      </c>
      <c r="AO128" t="s">
        <v>53</v>
      </c>
      <c r="AP128" t="s">
        <v>53</v>
      </c>
      <c r="AQ128" t="s">
        <v>53</v>
      </c>
      <c r="AR128" t="s">
        <v>190</v>
      </c>
      <c r="AS128" t="s">
        <v>174</v>
      </c>
      <c r="AT128" t="s">
        <v>347</v>
      </c>
    </row>
    <row r="129" spans="1:46" ht="120" x14ac:dyDescent="0.25">
      <c r="A129" s="5">
        <v>46077.609027777777</v>
      </c>
      <c r="B129" t="s">
        <v>823</v>
      </c>
      <c r="C129" t="s">
        <v>173</v>
      </c>
      <c r="D129" t="s">
        <v>174</v>
      </c>
      <c r="E129" t="s">
        <v>147</v>
      </c>
      <c r="H129" t="s">
        <v>175</v>
      </c>
      <c r="I129" t="s">
        <v>176</v>
      </c>
      <c r="J129" t="s">
        <v>5</v>
      </c>
      <c r="K129" t="s">
        <v>177</v>
      </c>
      <c r="L129" s="6" t="s">
        <v>824</v>
      </c>
      <c r="M129" t="s">
        <v>73</v>
      </c>
      <c r="N129" t="s">
        <v>825</v>
      </c>
      <c r="O129" t="s">
        <v>826</v>
      </c>
      <c r="P129" t="s">
        <v>827</v>
      </c>
      <c r="R129" t="s">
        <v>175</v>
      </c>
      <c r="S129" t="s">
        <v>176</v>
      </c>
      <c r="T129" t="s">
        <v>5</v>
      </c>
      <c r="U129" t="s">
        <v>177</v>
      </c>
      <c r="V129">
        <v>1</v>
      </c>
      <c r="W129" t="s">
        <v>182</v>
      </c>
      <c r="X129" t="s">
        <v>183</v>
      </c>
      <c r="Z129" t="s">
        <v>184</v>
      </c>
      <c r="AF129">
        <v>45958.833333333299</v>
      </c>
      <c r="AI129" t="s">
        <v>185</v>
      </c>
      <c r="AJ129" t="s">
        <v>186</v>
      </c>
      <c r="AK129" t="s">
        <v>187</v>
      </c>
      <c r="AL129" t="s">
        <v>187</v>
      </c>
      <c r="AM129" t="s">
        <v>188</v>
      </c>
      <c r="AN129" t="s">
        <v>189</v>
      </c>
      <c r="AO129" t="s">
        <v>6</v>
      </c>
      <c r="AP129" t="s">
        <v>9</v>
      </c>
      <c r="AQ129" t="s">
        <v>53</v>
      </c>
      <c r="AR129" t="s">
        <v>190</v>
      </c>
      <c r="AS129" t="s">
        <v>174</v>
      </c>
      <c r="AT129" t="s">
        <v>191</v>
      </c>
    </row>
    <row r="130" spans="1:46" ht="135" x14ac:dyDescent="0.25">
      <c r="A130" s="5">
        <v>46077.636666666665</v>
      </c>
      <c r="B130" t="s">
        <v>828</v>
      </c>
      <c r="C130" t="s">
        <v>173</v>
      </c>
      <c r="D130" t="s">
        <v>174</v>
      </c>
      <c r="E130" t="s">
        <v>147</v>
      </c>
      <c r="H130" t="s">
        <v>175</v>
      </c>
      <c r="I130" t="s">
        <v>176</v>
      </c>
      <c r="J130" t="s">
        <v>5</v>
      </c>
      <c r="K130" t="s">
        <v>177</v>
      </c>
      <c r="L130" s="6" t="s">
        <v>829</v>
      </c>
      <c r="M130" t="s">
        <v>7</v>
      </c>
      <c r="N130" t="s">
        <v>830</v>
      </c>
      <c r="O130" t="s">
        <v>831</v>
      </c>
      <c r="P130" t="s">
        <v>832</v>
      </c>
      <c r="R130" t="s">
        <v>175</v>
      </c>
      <c r="S130" t="s">
        <v>176</v>
      </c>
      <c r="T130" t="s">
        <v>5</v>
      </c>
      <c r="U130" t="s">
        <v>177</v>
      </c>
      <c r="V130">
        <v>1</v>
      </c>
      <c r="W130" t="s">
        <v>182</v>
      </c>
      <c r="X130" t="s">
        <v>183</v>
      </c>
      <c r="Z130" t="s">
        <v>184</v>
      </c>
      <c r="AF130">
        <v>45974.791666666701</v>
      </c>
      <c r="AI130" t="s">
        <v>185</v>
      </c>
      <c r="AJ130" t="s">
        <v>186</v>
      </c>
      <c r="AK130" t="s">
        <v>187</v>
      </c>
      <c r="AL130" t="s">
        <v>187</v>
      </c>
      <c r="AM130" t="s">
        <v>188</v>
      </c>
      <c r="AN130" t="s">
        <v>189</v>
      </c>
      <c r="AO130" t="s">
        <v>6</v>
      </c>
      <c r="AP130" t="s">
        <v>9</v>
      </c>
      <c r="AQ130" t="s">
        <v>53</v>
      </c>
      <c r="AR130" t="s">
        <v>190</v>
      </c>
      <c r="AS130" t="s">
        <v>174</v>
      </c>
      <c r="AT130" t="s">
        <v>191</v>
      </c>
    </row>
    <row r="131" spans="1:46" ht="135" x14ac:dyDescent="0.25">
      <c r="A131" s="5">
        <v>46077.642326388886</v>
      </c>
      <c r="B131" t="s">
        <v>833</v>
      </c>
      <c r="C131" t="s">
        <v>173</v>
      </c>
      <c r="D131" t="s">
        <v>174</v>
      </c>
      <c r="E131" t="s">
        <v>147</v>
      </c>
      <c r="H131" t="s">
        <v>175</v>
      </c>
      <c r="I131" t="s">
        <v>176</v>
      </c>
      <c r="J131" t="s">
        <v>5</v>
      </c>
      <c r="K131" t="s">
        <v>177</v>
      </c>
      <c r="L131" s="6" t="s">
        <v>834</v>
      </c>
      <c r="M131" t="s">
        <v>7</v>
      </c>
      <c r="N131" t="s">
        <v>835</v>
      </c>
      <c r="O131" t="s">
        <v>836</v>
      </c>
      <c r="P131" t="s">
        <v>837</v>
      </c>
      <c r="R131" t="s">
        <v>175</v>
      </c>
      <c r="S131" t="s">
        <v>176</v>
      </c>
      <c r="T131" t="s">
        <v>5</v>
      </c>
      <c r="U131" t="s">
        <v>177</v>
      </c>
      <c r="V131">
        <v>1</v>
      </c>
      <c r="W131" t="s">
        <v>182</v>
      </c>
      <c r="X131" t="s">
        <v>183</v>
      </c>
      <c r="Z131" t="s">
        <v>184</v>
      </c>
      <c r="AF131">
        <v>45991.791666666701</v>
      </c>
      <c r="AI131" t="s">
        <v>185</v>
      </c>
      <c r="AJ131" t="s">
        <v>186</v>
      </c>
      <c r="AK131" t="s">
        <v>187</v>
      </c>
      <c r="AL131" t="s">
        <v>187</v>
      </c>
      <c r="AM131" t="s">
        <v>188</v>
      </c>
      <c r="AN131" t="s">
        <v>189</v>
      </c>
      <c r="AO131" t="s">
        <v>6</v>
      </c>
      <c r="AP131" t="s">
        <v>9</v>
      </c>
      <c r="AQ131" t="s">
        <v>53</v>
      </c>
      <c r="AR131" t="s">
        <v>190</v>
      </c>
      <c r="AS131" t="s">
        <v>174</v>
      </c>
      <c r="AT131" t="s">
        <v>191</v>
      </c>
    </row>
    <row r="132" spans="1:46" ht="135" x14ac:dyDescent="0.25">
      <c r="A132" s="5">
        <v>46077.647291666668</v>
      </c>
      <c r="B132" t="s">
        <v>838</v>
      </c>
      <c r="C132" t="s">
        <v>173</v>
      </c>
      <c r="D132" t="s">
        <v>174</v>
      </c>
      <c r="E132" t="s">
        <v>147</v>
      </c>
      <c r="H132" t="s">
        <v>175</v>
      </c>
      <c r="I132" t="s">
        <v>176</v>
      </c>
      <c r="J132" t="s">
        <v>5</v>
      </c>
      <c r="K132" t="s">
        <v>177</v>
      </c>
      <c r="L132" s="6" t="s">
        <v>839</v>
      </c>
      <c r="M132" t="s">
        <v>7</v>
      </c>
      <c r="N132" t="s">
        <v>840</v>
      </c>
      <c r="O132" t="s">
        <v>841</v>
      </c>
      <c r="P132" t="s">
        <v>842</v>
      </c>
      <c r="R132" t="s">
        <v>175</v>
      </c>
      <c r="S132" t="s">
        <v>176</v>
      </c>
      <c r="T132" t="s">
        <v>5</v>
      </c>
      <c r="U132" t="s">
        <v>177</v>
      </c>
      <c r="V132">
        <v>1</v>
      </c>
      <c r="W132" t="s">
        <v>182</v>
      </c>
      <c r="X132" t="s">
        <v>183</v>
      </c>
      <c r="Z132" t="s">
        <v>184</v>
      </c>
      <c r="AF132">
        <v>45999.791666666701</v>
      </c>
      <c r="AI132" t="s">
        <v>185</v>
      </c>
      <c r="AJ132" t="s">
        <v>186</v>
      </c>
      <c r="AK132" t="s">
        <v>187</v>
      </c>
      <c r="AL132" t="s">
        <v>187</v>
      </c>
      <c r="AM132" t="s">
        <v>188</v>
      </c>
      <c r="AN132" t="s">
        <v>189</v>
      </c>
      <c r="AO132" t="s">
        <v>6</v>
      </c>
      <c r="AP132" t="s">
        <v>9</v>
      </c>
      <c r="AQ132" t="s">
        <v>53</v>
      </c>
      <c r="AR132" t="s">
        <v>190</v>
      </c>
      <c r="AS132" t="s">
        <v>174</v>
      </c>
      <c r="AT132" t="s">
        <v>191</v>
      </c>
    </row>
    <row r="133" spans="1:46" ht="135" x14ac:dyDescent="0.25">
      <c r="A133" s="5">
        <v>46058.480879629627</v>
      </c>
      <c r="B133" t="s">
        <v>843</v>
      </c>
      <c r="C133" t="s">
        <v>173</v>
      </c>
      <c r="D133" t="s">
        <v>198</v>
      </c>
      <c r="E133" t="s">
        <v>844</v>
      </c>
      <c r="H133" t="s">
        <v>175</v>
      </c>
      <c r="I133" t="s">
        <v>176</v>
      </c>
      <c r="J133" t="s">
        <v>5</v>
      </c>
      <c r="K133" t="s">
        <v>200</v>
      </c>
      <c r="L133" s="6" t="s">
        <v>845</v>
      </c>
      <c r="M133" t="s">
        <v>99</v>
      </c>
      <c r="N133" t="s">
        <v>846</v>
      </c>
      <c r="O133" t="s">
        <v>847</v>
      </c>
      <c r="P133" t="s">
        <v>848</v>
      </c>
      <c r="W133" t="s">
        <v>849</v>
      </c>
      <c r="X133" t="s">
        <v>850</v>
      </c>
      <c r="AI133" t="s">
        <v>185</v>
      </c>
      <c r="AJ133" t="s">
        <v>186</v>
      </c>
      <c r="AK133" t="s">
        <v>333</v>
      </c>
      <c r="AL133" t="s">
        <v>346</v>
      </c>
      <c r="AM133" t="s">
        <v>208</v>
      </c>
      <c r="AN133" t="s">
        <v>189</v>
      </c>
      <c r="AO133" t="s">
        <v>77</v>
      </c>
      <c r="AP133" t="s">
        <v>79</v>
      </c>
      <c r="AQ133" t="s">
        <v>53</v>
      </c>
      <c r="AR133" t="s">
        <v>190</v>
      </c>
      <c r="AS133" t="s">
        <v>198</v>
      </c>
      <c r="AT133" t="s">
        <v>347</v>
      </c>
    </row>
    <row r="134" spans="1:46" ht="90" x14ac:dyDescent="0.25">
      <c r="A134" s="5">
        <v>46055.691446759258</v>
      </c>
      <c r="B134" t="s">
        <v>851</v>
      </c>
      <c r="C134" t="s">
        <v>173</v>
      </c>
      <c r="D134" t="s">
        <v>174</v>
      </c>
      <c r="E134" t="s">
        <v>210</v>
      </c>
      <c r="G134" t="s">
        <v>392</v>
      </c>
      <c r="H134" t="s">
        <v>175</v>
      </c>
      <c r="I134" t="s">
        <v>176</v>
      </c>
      <c r="J134" t="s">
        <v>5</v>
      </c>
      <c r="K134" t="s">
        <v>200</v>
      </c>
      <c r="L134" s="6" t="s">
        <v>852</v>
      </c>
      <c r="M134" t="s">
        <v>82</v>
      </c>
      <c r="N134" t="s">
        <v>853</v>
      </c>
      <c r="O134" t="s">
        <v>854</v>
      </c>
      <c r="P134" t="s">
        <v>855</v>
      </c>
      <c r="Q134">
        <v>4</v>
      </c>
      <c r="R134" t="s">
        <v>175</v>
      </c>
      <c r="S134" t="s">
        <v>176</v>
      </c>
      <c r="T134" t="s">
        <v>5</v>
      </c>
      <c r="U134" t="s">
        <v>200</v>
      </c>
      <c r="V134">
        <v>1</v>
      </c>
      <c r="W134" t="s">
        <v>397</v>
      </c>
      <c r="X134" t="s">
        <v>398</v>
      </c>
      <c r="Z134" t="s">
        <v>191</v>
      </c>
      <c r="AB134" t="s">
        <v>856</v>
      </c>
      <c r="AC134" t="s">
        <v>400</v>
      </c>
      <c r="AF134">
        <v>45802.833333333299</v>
      </c>
      <c r="AI134" t="s">
        <v>220</v>
      </c>
      <c r="AJ134" t="s">
        <v>186</v>
      </c>
      <c r="AK134" t="s">
        <v>207</v>
      </c>
      <c r="AL134" t="s">
        <v>207</v>
      </c>
      <c r="AM134" t="s">
        <v>208</v>
      </c>
      <c r="AN134" t="s">
        <v>189</v>
      </c>
      <c r="AO134" t="s">
        <v>27</v>
      </c>
      <c r="AP134" t="s">
        <v>33</v>
      </c>
      <c r="AQ134" t="s">
        <v>53</v>
      </c>
      <c r="AR134" t="s">
        <v>190</v>
      </c>
      <c r="AS134" t="s">
        <v>174</v>
      </c>
      <c r="AT134" t="s">
        <v>191</v>
      </c>
    </row>
    <row r="135" spans="1:46" ht="105" x14ac:dyDescent="0.25">
      <c r="A135" s="5">
        <v>46070.476446759261</v>
      </c>
      <c r="B135" t="s">
        <v>857</v>
      </c>
      <c r="C135" t="s">
        <v>173</v>
      </c>
      <c r="D135" t="s">
        <v>174</v>
      </c>
      <c r="E135" t="s">
        <v>147</v>
      </c>
      <c r="H135" t="s">
        <v>175</v>
      </c>
      <c r="I135" t="s">
        <v>176</v>
      </c>
      <c r="J135" t="s">
        <v>5</v>
      </c>
      <c r="K135" t="s">
        <v>177</v>
      </c>
      <c r="L135" s="6" t="s">
        <v>858</v>
      </c>
      <c r="M135" t="s">
        <v>21</v>
      </c>
      <c r="N135" t="s">
        <v>859</v>
      </c>
      <c r="O135" t="s">
        <v>860</v>
      </c>
      <c r="P135" t="s">
        <v>861</v>
      </c>
      <c r="R135" t="s">
        <v>175</v>
      </c>
      <c r="S135" t="s">
        <v>176</v>
      </c>
      <c r="T135" t="s">
        <v>5</v>
      </c>
      <c r="U135" t="s">
        <v>177</v>
      </c>
      <c r="V135">
        <v>1</v>
      </c>
      <c r="W135" t="s">
        <v>182</v>
      </c>
      <c r="X135" t="s">
        <v>183</v>
      </c>
      <c r="Z135" t="s">
        <v>184</v>
      </c>
      <c r="AF135">
        <v>46001.791666666701</v>
      </c>
      <c r="AI135" t="s">
        <v>185</v>
      </c>
      <c r="AJ135" t="s">
        <v>186</v>
      </c>
      <c r="AK135" t="s">
        <v>187</v>
      </c>
      <c r="AL135" t="s">
        <v>187</v>
      </c>
      <c r="AM135" t="s">
        <v>188</v>
      </c>
      <c r="AN135" t="s">
        <v>189</v>
      </c>
      <c r="AO135" t="s">
        <v>6</v>
      </c>
      <c r="AP135" t="s">
        <v>9</v>
      </c>
      <c r="AQ135" t="s">
        <v>53</v>
      </c>
      <c r="AR135" t="s">
        <v>190</v>
      </c>
      <c r="AS135" t="s">
        <v>174</v>
      </c>
      <c r="AT135" t="s">
        <v>191</v>
      </c>
    </row>
    <row r="136" spans="1:46" ht="105" x14ac:dyDescent="0.25">
      <c r="A136" s="5">
        <v>46070.486041666663</v>
      </c>
      <c r="B136" t="s">
        <v>862</v>
      </c>
      <c r="C136" t="s">
        <v>173</v>
      </c>
      <c r="D136" t="s">
        <v>174</v>
      </c>
      <c r="E136" t="s">
        <v>147</v>
      </c>
      <c r="H136" t="s">
        <v>175</v>
      </c>
      <c r="I136" t="s">
        <v>176</v>
      </c>
      <c r="J136" t="s">
        <v>5</v>
      </c>
      <c r="K136" t="s">
        <v>177</v>
      </c>
      <c r="L136" s="6" t="s">
        <v>863</v>
      </c>
      <c r="M136" t="s">
        <v>21</v>
      </c>
      <c r="N136" t="s">
        <v>864</v>
      </c>
      <c r="O136" t="s">
        <v>865</v>
      </c>
      <c r="P136" t="s">
        <v>866</v>
      </c>
      <c r="R136" t="s">
        <v>175</v>
      </c>
      <c r="S136" t="s">
        <v>176</v>
      </c>
      <c r="T136" t="s">
        <v>5</v>
      </c>
      <c r="U136" t="s">
        <v>177</v>
      </c>
      <c r="V136">
        <v>1</v>
      </c>
      <c r="W136" t="s">
        <v>182</v>
      </c>
      <c r="X136" t="s">
        <v>183</v>
      </c>
      <c r="Z136" t="s">
        <v>184</v>
      </c>
      <c r="AF136">
        <v>46002.791666666701</v>
      </c>
      <c r="AI136" t="s">
        <v>185</v>
      </c>
      <c r="AJ136" t="s">
        <v>186</v>
      </c>
      <c r="AK136" t="s">
        <v>187</v>
      </c>
      <c r="AL136" t="s">
        <v>187</v>
      </c>
      <c r="AM136" t="s">
        <v>188</v>
      </c>
      <c r="AN136" t="s">
        <v>189</v>
      </c>
      <c r="AO136" t="s">
        <v>6</v>
      </c>
      <c r="AP136" t="s">
        <v>9</v>
      </c>
      <c r="AQ136" t="s">
        <v>53</v>
      </c>
      <c r="AR136" t="s">
        <v>190</v>
      </c>
      <c r="AS136" t="s">
        <v>174</v>
      </c>
      <c r="AT136" t="s">
        <v>191</v>
      </c>
    </row>
    <row r="137" spans="1:46" ht="105" x14ac:dyDescent="0.25">
      <c r="A137" s="5">
        <v>46070.491469907407</v>
      </c>
      <c r="B137" t="s">
        <v>867</v>
      </c>
      <c r="C137" t="s">
        <v>173</v>
      </c>
      <c r="D137" t="s">
        <v>174</v>
      </c>
      <c r="E137" t="s">
        <v>147</v>
      </c>
      <c r="H137" t="s">
        <v>175</v>
      </c>
      <c r="I137" t="s">
        <v>176</v>
      </c>
      <c r="J137" t="s">
        <v>5</v>
      </c>
      <c r="K137" t="s">
        <v>177</v>
      </c>
      <c r="L137" s="6" t="s">
        <v>868</v>
      </c>
      <c r="M137" t="s">
        <v>21</v>
      </c>
      <c r="N137" t="s">
        <v>869</v>
      </c>
      <c r="O137" t="s">
        <v>870</v>
      </c>
      <c r="P137" t="s">
        <v>871</v>
      </c>
      <c r="R137" t="s">
        <v>175</v>
      </c>
      <c r="S137" t="s">
        <v>176</v>
      </c>
      <c r="T137" t="s">
        <v>5</v>
      </c>
      <c r="U137" t="s">
        <v>177</v>
      </c>
      <c r="V137">
        <v>1</v>
      </c>
      <c r="W137" t="s">
        <v>182</v>
      </c>
      <c r="X137" t="s">
        <v>183</v>
      </c>
      <c r="Z137" t="s">
        <v>184</v>
      </c>
      <c r="AF137">
        <v>46005.791666666701</v>
      </c>
      <c r="AI137" t="s">
        <v>185</v>
      </c>
      <c r="AJ137" t="s">
        <v>186</v>
      </c>
      <c r="AK137" t="s">
        <v>187</v>
      </c>
      <c r="AL137" t="s">
        <v>187</v>
      </c>
      <c r="AM137" t="s">
        <v>188</v>
      </c>
      <c r="AN137" t="s">
        <v>189</v>
      </c>
      <c r="AO137" t="s">
        <v>6</v>
      </c>
      <c r="AP137" t="s">
        <v>9</v>
      </c>
      <c r="AQ137" t="s">
        <v>53</v>
      </c>
      <c r="AR137" t="s">
        <v>190</v>
      </c>
      <c r="AS137" t="s">
        <v>174</v>
      </c>
      <c r="AT137" t="s">
        <v>191</v>
      </c>
    </row>
    <row r="138" spans="1:46" ht="105" x14ac:dyDescent="0.25">
      <c r="A138" s="5">
        <v>46070.49628472222</v>
      </c>
      <c r="B138" t="s">
        <v>872</v>
      </c>
      <c r="C138" t="s">
        <v>173</v>
      </c>
      <c r="D138" t="s">
        <v>174</v>
      </c>
      <c r="E138" t="s">
        <v>147</v>
      </c>
      <c r="H138" t="s">
        <v>175</v>
      </c>
      <c r="I138" t="s">
        <v>176</v>
      </c>
      <c r="J138" t="s">
        <v>5</v>
      </c>
      <c r="K138" t="s">
        <v>177</v>
      </c>
      <c r="L138" s="6" t="s">
        <v>873</v>
      </c>
      <c r="M138" t="s">
        <v>21</v>
      </c>
      <c r="N138" t="s">
        <v>874</v>
      </c>
      <c r="O138" t="s">
        <v>875</v>
      </c>
      <c r="P138" t="s">
        <v>876</v>
      </c>
      <c r="R138" t="s">
        <v>175</v>
      </c>
      <c r="S138" t="s">
        <v>176</v>
      </c>
      <c r="T138" t="s">
        <v>5</v>
      </c>
      <c r="U138" t="s">
        <v>177</v>
      </c>
      <c r="V138">
        <v>1</v>
      </c>
      <c r="W138" t="s">
        <v>182</v>
      </c>
      <c r="X138" t="s">
        <v>183</v>
      </c>
      <c r="Z138" t="s">
        <v>184</v>
      </c>
      <c r="AF138">
        <v>46006.791666666701</v>
      </c>
      <c r="AI138" t="s">
        <v>185</v>
      </c>
      <c r="AJ138" t="s">
        <v>186</v>
      </c>
      <c r="AK138" t="s">
        <v>187</v>
      </c>
      <c r="AL138" t="s">
        <v>187</v>
      </c>
      <c r="AM138" t="s">
        <v>188</v>
      </c>
      <c r="AN138" t="s">
        <v>189</v>
      </c>
      <c r="AO138" t="s">
        <v>6</v>
      </c>
      <c r="AP138" t="s">
        <v>9</v>
      </c>
      <c r="AQ138" t="s">
        <v>53</v>
      </c>
      <c r="AR138" t="s">
        <v>190</v>
      </c>
      <c r="AS138" t="s">
        <v>174</v>
      </c>
      <c r="AT138" t="s">
        <v>191</v>
      </c>
    </row>
    <row r="139" spans="1:46" ht="105" x14ac:dyDescent="0.25">
      <c r="A139" s="5">
        <v>46070.500254629631</v>
      </c>
      <c r="B139" t="s">
        <v>877</v>
      </c>
      <c r="C139" t="s">
        <v>173</v>
      </c>
      <c r="D139" t="s">
        <v>174</v>
      </c>
      <c r="E139" t="s">
        <v>147</v>
      </c>
      <c r="H139" t="s">
        <v>175</v>
      </c>
      <c r="I139" t="s">
        <v>176</v>
      </c>
      <c r="J139" t="s">
        <v>5</v>
      </c>
      <c r="K139" t="s">
        <v>177</v>
      </c>
      <c r="L139" s="6" t="s">
        <v>878</v>
      </c>
      <c r="M139" t="s">
        <v>21</v>
      </c>
      <c r="N139" t="s">
        <v>879</v>
      </c>
      <c r="O139" t="s">
        <v>880</v>
      </c>
      <c r="P139" t="s">
        <v>881</v>
      </c>
      <c r="R139" t="s">
        <v>175</v>
      </c>
      <c r="S139" t="s">
        <v>176</v>
      </c>
      <c r="T139" t="s">
        <v>5</v>
      </c>
      <c r="U139" t="s">
        <v>177</v>
      </c>
      <c r="V139">
        <v>1</v>
      </c>
      <c r="W139" t="s">
        <v>182</v>
      </c>
      <c r="X139" t="s">
        <v>183</v>
      </c>
      <c r="Z139" t="s">
        <v>184</v>
      </c>
      <c r="AF139">
        <v>46028.791666666701</v>
      </c>
      <c r="AI139" t="s">
        <v>185</v>
      </c>
      <c r="AJ139" t="s">
        <v>186</v>
      </c>
      <c r="AK139" t="s">
        <v>187</v>
      </c>
      <c r="AL139" t="s">
        <v>187</v>
      </c>
      <c r="AM139" t="s">
        <v>188</v>
      </c>
      <c r="AN139" t="s">
        <v>189</v>
      </c>
      <c r="AO139" t="s">
        <v>6</v>
      </c>
      <c r="AP139" t="s">
        <v>9</v>
      </c>
      <c r="AQ139" t="s">
        <v>53</v>
      </c>
      <c r="AR139" t="s">
        <v>190</v>
      </c>
      <c r="AS139" t="s">
        <v>174</v>
      </c>
      <c r="AT139" t="s">
        <v>191</v>
      </c>
    </row>
    <row r="140" spans="1:46" ht="105" x14ac:dyDescent="0.25">
      <c r="A140" s="5">
        <v>46056.472534722219</v>
      </c>
      <c r="B140" t="s">
        <v>882</v>
      </c>
      <c r="C140" t="s">
        <v>173</v>
      </c>
      <c r="D140" t="s">
        <v>174</v>
      </c>
      <c r="E140" t="s">
        <v>147</v>
      </c>
      <c r="H140" t="s">
        <v>175</v>
      </c>
      <c r="I140" t="s">
        <v>176</v>
      </c>
      <c r="J140" t="s">
        <v>5</v>
      </c>
      <c r="K140" t="s">
        <v>177</v>
      </c>
      <c r="L140" s="6" t="s">
        <v>883</v>
      </c>
      <c r="M140" t="s">
        <v>7</v>
      </c>
      <c r="N140" t="s">
        <v>884</v>
      </c>
      <c r="O140" t="s">
        <v>885</v>
      </c>
      <c r="P140" t="s">
        <v>886</v>
      </c>
      <c r="R140" t="s">
        <v>175</v>
      </c>
      <c r="S140" t="s">
        <v>176</v>
      </c>
      <c r="T140" t="s">
        <v>5</v>
      </c>
      <c r="U140" t="s">
        <v>177</v>
      </c>
      <c r="V140">
        <v>1</v>
      </c>
      <c r="W140" t="s">
        <v>182</v>
      </c>
      <c r="X140" t="s">
        <v>183</v>
      </c>
      <c r="Z140" t="s">
        <v>184</v>
      </c>
      <c r="AF140">
        <v>45972.791666666701</v>
      </c>
      <c r="AI140" t="s">
        <v>185</v>
      </c>
      <c r="AJ140" t="s">
        <v>186</v>
      </c>
      <c r="AK140" t="s">
        <v>187</v>
      </c>
      <c r="AL140" t="s">
        <v>187</v>
      </c>
      <c r="AM140" t="s">
        <v>188</v>
      </c>
      <c r="AN140" t="s">
        <v>189</v>
      </c>
      <c r="AO140" t="s">
        <v>6</v>
      </c>
      <c r="AP140" t="s">
        <v>9</v>
      </c>
      <c r="AQ140" t="s">
        <v>53</v>
      </c>
      <c r="AR140" t="s">
        <v>190</v>
      </c>
      <c r="AS140" t="s">
        <v>174</v>
      </c>
      <c r="AT140" t="s">
        <v>191</v>
      </c>
    </row>
    <row r="141" spans="1:46" ht="120" x14ac:dyDescent="0.25">
      <c r="A141" s="5">
        <v>46071.683009259257</v>
      </c>
      <c r="B141" t="s">
        <v>887</v>
      </c>
      <c r="C141" t="s">
        <v>173</v>
      </c>
      <c r="D141" t="s">
        <v>174</v>
      </c>
      <c r="E141" t="s">
        <v>210</v>
      </c>
      <c r="G141" t="s">
        <v>211</v>
      </c>
      <c r="H141" t="s">
        <v>175</v>
      </c>
      <c r="I141" t="s">
        <v>176</v>
      </c>
      <c r="J141" t="s">
        <v>5</v>
      </c>
      <c r="K141" t="s">
        <v>200</v>
      </c>
      <c r="L141" s="6" t="s">
        <v>888</v>
      </c>
      <c r="M141" t="s">
        <v>55</v>
      </c>
      <c r="N141" t="s">
        <v>751</v>
      </c>
      <c r="O141" t="s">
        <v>752</v>
      </c>
      <c r="P141" t="s">
        <v>889</v>
      </c>
      <c r="R141" t="s">
        <v>175</v>
      </c>
      <c r="S141" t="s">
        <v>176</v>
      </c>
      <c r="T141" t="s">
        <v>5</v>
      </c>
      <c r="U141" t="s">
        <v>200</v>
      </c>
      <c r="V141">
        <v>1</v>
      </c>
      <c r="W141" t="s">
        <v>397</v>
      </c>
      <c r="X141" t="s">
        <v>637</v>
      </c>
      <c r="Z141" t="s">
        <v>191</v>
      </c>
      <c r="AB141" t="s">
        <v>890</v>
      </c>
      <c r="AC141" t="s">
        <v>891</v>
      </c>
      <c r="AF141">
        <v>46008.791666666701</v>
      </c>
      <c r="AI141" t="s">
        <v>220</v>
      </c>
      <c r="AJ141" t="s">
        <v>186</v>
      </c>
      <c r="AK141" t="s">
        <v>492</v>
      </c>
      <c r="AL141" t="s">
        <v>492</v>
      </c>
      <c r="AM141" t="s">
        <v>208</v>
      </c>
      <c r="AN141" t="s">
        <v>189</v>
      </c>
      <c r="AO141" t="s">
        <v>27</v>
      </c>
      <c r="AP141" t="s">
        <v>30</v>
      </c>
      <c r="AQ141" t="s">
        <v>53</v>
      </c>
      <c r="AR141" t="s">
        <v>190</v>
      </c>
      <c r="AS141" t="s">
        <v>174</v>
      </c>
      <c r="AT141" t="s">
        <v>191</v>
      </c>
    </row>
    <row r="142" spans="1:46" ht="75" x14ac:dyDescent="0.25">
      <c r="A142" s="5">
        <v>46069.731990740744</v>
      </c>
      <c r="B142" t="s">
        <v>892</v>
      </c>
      <c r="C142" t="s">
        <v>173</v>
      </c>
      <c r="D142" t="s">
        <v>198</v>
      </c>
      <c r="E142" t="s">
        <v>199</v>
      </c>
      <c r="H142" t="s">
        <v>175</v>
      </c>
      <c r="I142" t="s">
        <v>176</v>
      </c>
      <c r="J142" t="s">
        <v>5</v>
      </c>
      <c r="K142" t="s">
        <v>200</v>
      </c>
      <c r="L142" s="6" t="s">
        <v>893</v>
      </c>
      <c r="M142" t="s">
        <v>34</v>
      </c>
      <c r="N142" t="s">
        <v>894</v>
      </c>
      <c r="O142" t="s">
        <v>895</v>
      </c>
      <c r="P142" t="s">
        <v>896</v>
      </c>
      <c r="R142" t="s">
        <v>175</v>
      </c>
      <c r="S142" t="s">
        <v>176</v>
      </c>
      <c r="T142" t="s">
        <v>5</v>
      </c>
      <c r="U142" t="s">
        <v>200</v>
      </c>
      <c r="V142">
        <v>1</v>
      </c>
      <c r="W142" t="s">
        <v>205</v>
      </c>
      <c r="X142" t="s">
        <v>277</v>
      </c>
      <c r="Z142" t="s">
        <v>138</v>
      </c>
      <c r="AF142">
        <v>45979.791666666701</v>
      </c>
      <c r="AI142" t="s">
        <v>185</v>
      </c>
      <c r="AJ142" t="s">
        <v>186</v>
      </c>
      <c r="AK142" t="s">
        <v>278</v>
      </c>
      <c r="AL142" t="s">
        <v>278</v>
      </c>
      <c r="AM142" t="s">
        <v>188</v>
      </c>
      <c r="AN142" t="s">
        <v>189</v>
      </c>
      <c r="AO142" t="s">
        <v>15</v>
      </c>
      <c r="AP142" t="s">
        <v>19</v>
      </c>
      <c r="AQ142" t="s">
        <v>53</v>
      </c>
      <c r="AR142" t="s">
        <v>190</v>
      </c>
      <c r="AS142" t="s">
        <v>198</v>
      </c>
      <c r="AT142" t="s">
        <v>138</v>
      </c>
    </row>
    <row r="143" spans="1:46" ht="75" x14ac:dyDescent="0.25">
      <c r="A143" s="5">
        <v>46069.710949074077</v>
      </c>
      <c r="B143" t="s">
        <v>897</v>
      </c>
      <c r="C143" t="s">
        <v>173</v>
      </c>
      <c r="D143" t="s">
        <v>198</v>
      </c>
      <c r="E143" t="s">
        <v>199</v>
      </c>
      <c r="H143" t="s">
        <v>175</v>
      </c>
      <c r="I143" t="s">
        <v>176</v>
      </c>
      <c r="J143" t="s">
        <v>5</v>
      </c>
      <c r="K143" t="s">
        <v>200</v>
      </c>
      <c r="L143" s="6" t="s">
        <v>898</v>
      </c>
      <c r="M143" t="s">
        <v>34</v>
      </c>
      <c r="N143" t="s">
        <v>899</v>
      </c>
      <c r="O143" t="s">
        <v>900</v>
      </c>
      <c r="P143" t="s">
        <v>901</v>
      </c>
      <c r="R143" t="s">
        <v>175</v>
      </c>
      <c r="S143" t="s">
        <v>176</v>
      </c>
      <c r="T143" t="s">
        <v>5</v>
      </c>
      <c r="U143" t="s">
        <v>200</v>
      </c>
      <c r="V143">
        <v>1</v>
      </c>
      <c r="W143" t="s">
        <v>205</v>
      </c>
      <c r="X143" t="s">
        <v>277</v>
      </c>
      <c r="Z143" t="s">
        <v>138</v>
      </c>
      <c r="AF143">
        <v>45961.833333333299</v>
      </c>
      <c r="AI143" t="s">
        <v>185</v>
      </c>
      <c r="AJ143" t="s">
        <v>186</v>
      </c>
      <c r="AK143" t="s">
        <v>278</v>
      </c>
      <c r="AL143" t="s">
        <v>278</v>
      </c>
      <c r="AM143" t="s">
        <v>208</v>
      </c>
      <c r="AN143" t="s">
        <v>189</v>
      </c>
      <c r="AO143" t="s">
        <v>15</v>
      </c>
      <c r="AP143" t="s">
        <v>19</v>
      </c>
      <c r="AQ143" t="s">
        <v>53</v>
      </c>
      <c r="AR143" t="s">
        <v>190</v>
      </c>
      <c r="AS143" t="s">
        <v>198</v>
      </c>
      <c r="AT143" t="s">
        <v>138</v>
      </c>
    </row>
    <row r="144" spans="1:46" ht="75" x14ac:dyDescent="0.25">
      <c r="A144" s="5">
        <v>46069.685173611113</v>
      </c>
      <c r="B144" t="s">
        <v>902</v>
      </c>
      <c r="C144" t="s">
        <v>173</v>
      </c>
      <c r="D144" t="s">
        <v>198</v>
      </c>
      <c r="E144" t="s">
        <v>199</v>
      </c>
      <c r="H144" t="s">
        <v>175</v>
      </c>
      <c r="I144" t="s">
        <v>176</v>
      </c>
      <c r="J144" t="s">
        <v>5</v>
      </c>
      <c r="K144" t="s">
        <v>200</v>
      </c>
      <c r="L144" s="6" t="s">
        <v>903</v>
      </c>
      <c r="M144" t="s">
        <v>34</v>
      </c>
      <c r="N144" t="s">
        <v>904</v>
      </c>
      <c r="O144" t="s">
        <v>905</v>
      </c>
      <c r="P144" t="s">
        <v>906</v>
      </c>
      <c r="R144" t="s">
        <v>175</v>
      </c>
      <c r="S144" t="s">
        <v>176</v>
      </c>
      <c r="T144" t="s">
        <v>5</v>
      </c>
      <c r="U144" t="s">
        <v>200</v>
      </c>
      <c r="V144">
        <v>1</v>
      </c>
      <c r="W144" t="s">
        <v>205</v>
      </c>
      <c r="X144" t="s">
        <v>277</v>
      </c>
      <c r="Z144" t="s">
        <v>138</v>
      </c>
      <c r="AF144">
        <v>45939.833333333299</v>
      </c>
      <c r="AI144" t="s">
        <v>185</v>
      </c>
      <c r="AJ144" t="s">
        <v>186</v>
      </c>
      <c r="AK144" t="s">
        <v>278</v>
      </c>
      <c r="AL144" t="s">
        <v>278</v>
      </c>
      <c r="AM144" t="s">
        <v>208</v>
      </c>
      <c r="AN144" t="s">
        <v>189</v>
      </c>
      <c r="AO144" t="s">
        <v>15</v>
      </c>
      <c r="AP144" t="s">
        <v>19</v>
      </c>
      <c r="AQ144" t="s">
        <v>53</v>
      </c>
      <c r="AR144" t="s">
        <v>190</v>
      </c>
      <c r="AS144" t="s">
        <v>198</v>
      </c>
      <c r="AT144" t="s">
        <v>138</v>
      </c>
    </row>
    <row r="145" spans="1:46" ht="165" x14ac:dyDescent="0.25">
      <c r="A145" s="5">
        <v>46069.579386574071</v>
      </c>
      <c r="B145" t="s">
        <v>907</v>
      </c>
      <c r="C145" t="s">
        <v>173</v>
      </c>
      <c r="D145" t="s">
        <v>174</v>
      </c>
      <c r="E145" t="s">
        <v>210</v>
      </c>
      <c r="G145" t="s">
        <v>392</v>
      </c>
      <c r="H145" t="s">
        <v>175</v>
      </c>
      <c r="I145" t="s">
        <v>176</v>
      </c>
      <c r="J145" t="s">
        <v>5</v>
      </c>
      <c r="K145" t="s">
        <v>200</v>
      </c>
      <c r="L145" s="6" t="s">
        <v>908</v>
      </c>
      <c r="M145" t="s">
        <v>50</v>
      </c>
      <c r="N145" t="s">
        <v>909</v>
      </c>
      <c r="O145" t="s">
        <v>909</v>
      </c>
      <c r="AJ145" t="s">
        <v>186</v>
      </c>
      <c r="AK145" t="s">
        <v>207</v>
      </c>
      <c r="AL145" t="s">
        <v>207</v>
      </c>
      <c r="AM145" t="s">
        <v>208</v>
      </c>
      <c r="AN145" t="s">
        <v>189</v>
      </c>
      <c r="AO145" t="s">
        <v>53</v>
      </c>
      <c r="AP145" t="s">
        <v>53</v>
      </c>
      <c r="AQ145" t="s">
        <v>53</v>
      </c>
      <c r="AR145" t="s">
        <v>190</v>
      </c>
      <c r="AS145" t="s">
        <v>174</v>
      </c>
      <c r="AT145" t="s">
        <v>347</v>
      </c>
    </row>
    <row r="146" spans="1:46" ht="135" x14ac:dyDescent="0.25">
      <c r="A146" s="5">
        <v>46069.388298611113</v>
      </c>
      <c r="B146" t="s">
        <v>910</v>
      </c>
      <c r="C146" t="s">
        <v>173</v>
      </c>
      <c r="D146" t="s">
        <v>174</v>
      </c>
      <c r="E146" t="s">
        <v>325</v>
      </c>
      <c r="H146" t="s">
        <v>175</v>
      </c>
      <c r="I146" t="s">
        <v>176</v>
      </c>
      <c r="J146" t="s">
        <v>5</v>
      </c>
      <c r="K146" t="s">
        <v>200</v>
      </c>
      <c r="L146" s="6" t="s">
        <v>911</v>
      </c>
      <c r="M146" t="s">
        <v>115</v>
      </c>
      <c r="N146" t="s">
        <v>912</v>
      </c>
      <c r="O146" t="s">
        <v>913</v>
      </c>
      <c r="P146" t="s">
        <v>914</v>
      </c>
      <c r="Q146">
        <v>5</v>
      </c>
      <c r="R146" t="s">
        <v>175</v>
      </c>
      <c r="S146" t="s">
        <v>176</v>
      </c>
      <c r="T146" t="s">
        <v>5</v>
      </c>
      <c r="U146" t="s">
        <v>200</v>
      </c>
      <c r="V146">
        <v>1</v>
      </c>
      <c r="W146" t="s">
        <v>377</v>
      </c>
      <c r="X146" t="s">
        <v>378</v>
      </c>
      <c r="Z146" t="s">
        <v>191</v>
      </c>
      <c r="AF146">
        <v>46064.791666666701</v>
      </c>
      <c r="AI146" t="s">
        <v>220</v>
      </c>
      <c r="AJ146" t="s">
        <v>186</v>
      </c>
      <c r="AK146" t="s">
        <v>207</v>
      </c>
      <c r="AL146" t="s">
        <v>207</v>
      </c>
      <c r="AM146" t="s">
        <v>208</v>
      </c>
      <c r="AN146" t="s">
        <v>189</v>
      </c>
      <c r="AO146" t="s">
        <v>39</v>
      </c>
      <c r="AP146" t="s">
        <v>41</v>
      </c>
      <c r="AQ146" t="s">
        <v>53</v>
      </c>
      <c r="AR146" t="s">
        <v>190</v>
      </c>
      <c r="AS146" t="s">
        <v>174</v>
      </c>
      <c r="AT146" t="s">
        <v>191</v>
      </c>
    </row>
    <row r="147" spans="1:46" ht="105" x14ac:dyDescent="0.25">
      <c r="A147" s="5">
        <v>46056.478912037041</v>
      </c>
      <c r="B147" t="s">
        <v>915</v>
      </c>
      <c r="C147" t="s">
        <v>173</v>
      </c>
      <c r="D147" t="s">
        <v>174</v>
      </c>
      <c r="E147" t="s">
        <v>147</v>
      </c>
      <c r="H147" t="s">
        <v>175</v>
      </c>
      <c r="I147" t="s">
        <v>176</v>
      </c>
      <c r="J147" t="s">
        <v>5</v>
      </c>
      <c r="K147" t="s">
        <v>177</v>
      </c>
      <c r="L147" s="6" t="s">
        <v>916</v>
      </c>
      <c r="M147" t="s">
        <v>7</v>
      </c>
      <c r="N147" t="s">
        <v>917</v>
      </c>
      <c r="O147" t="s">
        <v>918</v>
      </c>
      <c r="P147" t="s">
        <v>919</v>
      </c>
      <c r="R147" t="s">
        <v>175</v>
      </c>
      <c r="S147" t="s">
        <v>176</v>
      </c>
      <c r="T147" t="s">
        <v>5</v>
      </c>
      <c r="U147" t="s">
        <v>177</v>
      </c>
      <c r="V147">
        <v>1</v>
      </c>
      <c r="W147" t="s">
        <v>182</v>
      </c>
      <c r="X147" t="s">
        <v>183</v>
      </c>
      <c r="Z147" t="s">
        <v>184</v>
      </c>
      <c r="AF147">
        <v>45973.791666666701</v>
      </c>
      <c r="AI147" t="s">
        <v>185</v>
      </c>
      <c r="AJ147" t="s">
        <v>186</v>
      </c>
      <c r="AK147" t="s">
        <v>187</v>
      </c>
      <c r="AL147" t="s">
        <v>187</v>
      </c>
      <c r="AM147" t="s">
        <v>188</v>
      </c>
      <c r="AN147" t="s">
        <v>189</v>
      </c>
      <c r="AO147" t="s">
        <v>6</v>
      </c>
      <c r="AP147" t="s">
        <v>9</v>
      </c>
      <c r="AQ147" t="s">
        <v>53</v>
      </c>
      <c r="AR147" t="s">
        <v>190</v>
      </c>
      <c r="AS147" t="s">
        <v>174</v>
      </c>
      <c r="AT147" t="s">
        <v>191</v>
      </c>
    </row>
    <row r="148" spans="1:46" ht="105" x14ac:dyDescent="0.25">
      <c r="A148" s="5">
        <v>46056.483715277776</v>
      </c>
      <c r="B148" t="s">
        <v>920</v>
      </c>
      <c r="C148" t="s">
        <v>173</v>
      </c>
      <c r="D148" t="s">
        <v>174</v>
      </c>
      <c r="E148" t="s">
        <v>147</v>
      </c>
      <c r="H148" t="s">
        <v>175</v>
      </c>
      <c r="I148" t="s">
        <v>176</v>
      </c>
      <c r="J148" t="s">
        <v>5</v>
      </c>
      <c r="K148" t="s">
        <v>177</v>
      </c>
      <c r="L148" s="6" t="s">
        <v>921</v>
      </c>
      <c r="M148" t="s">
        <v>7</v>
      </c>
      <c r="N148" t="s">
        <v>922</v>
      </c>
      <c r="O148" t="s">
        <v>923</v>
      </c>
      <c r="P148" t="s">
        <v>924</v>
      </c>
      <c r="R148" t="s">
        <v>175</v>
      </c>
      <c r="S148" t="s">
        <v>176</v>
      </c>
      <c r="T148" t="s">
        <v>5</v>
      </c>
      <c r="U148" t="s">
        <v>177</v>
      </c>
      <c r="V148">
        <v>1</v>
      </c>
      <c r="W148" t="s">
        <v>182</v>
      </c>
      <c r="X148" t="s">
        <v>183</v>
      </c>
      <c r="Z148" t="s">
        <v>184</v>
      </c>
      <c r="AF148">
        <v>45986.791666666701</v>
      </c>
      <c r="AI148" t="s">
        <v>185</v>
      </c>
      <c r="AJ148" t="s">
        <v>186</v>
      </c>
      <c r="AK148" t="s">
        <v>187</v>
      </c>
      <c r="AL148" t="s">
        <v>187</v>
      </c>
      <c r="AM148" t="s">
        <v>188</v>
      </c>
      <c r="AN148" t="s">
        <v>189</v>
      </c>
      <c r="AO148" t="s">
        <v>6</v>
      </c>
      <c r="AP148" t="s">
        <v>9</v>
      </c>
      <c r="AQ148" t="s">
        <v>53</v>
      </c>
      <c r="AR148" t="s">
        <v>190</v>
      </c>
      <c r="AS148" t="s">
        <v>174</v>
      </c>
      <c r="AT148" t="s">
        <v>191</v>
      </c>
    </row>
    <row r="149" spans="1:46" ht="105" x14ac:dyDescent="0.25">
      <c r="A149" s="5">
        <v>46062.567418981482</v>
      </c>
      <c r="B149" t="s">
        <v>925</v>
      </c>
      <c r="C149" t="s">
        <v>173</v>
      </c>
      <c r="D149" t="s">
        <v>174</v>
      </c>
      <c r="E149" t="s">
        <v>147</v>
      </c>
      <c r="H149" t="s">
        <v>175</v>
      </c>
      <c r="I149" t="s">
        <v>176</v>
      </c>
      <c r="J149" t="s">
        <v>5</v>
      </c>
      <c r="K149" t="s">
        <v>177</v>
      </c>
      <c r="L149" s="6" t="s">
        <v>926</v>
      </c>
      <c r="M149" t="s">
        <v>7</v>
      </c>
      <c r="N149" t="s">
        <v>927</v>
      </c>
      <c r="O149" t="s">
        <v>928</v>
      </c>
      <c r="P149" t="s">
        <v>929</v>
      </c>
      <c r="R149" t="s">
        <v>175</v>
      </c>
      <c r="S149" t="s">
        <v>176</v>
      </c>
      <c r="T149" t="s">
        <v>5</v>
      </c>
      <c r="U149" t="s">
        <v>177</v>
      </c>
      <c r="V149">
        <v>1</v>
      </c>
      <c r="W149" t="s">
        <v>182</v>
      </c>
      <c r="X149" t="s">
        <v>183</v>
      </c>
      <c r="Z149" t="s">
        <v>184</v>
      </c>
      <c r="AF149">
        <v>45972.791666666701</v>
      </c>
      <c r="AI149" t="s">
        <v>185</v>
      </c>
      <c r="AJ149" t="s">
        <v>186</v>
      </c>
      <c r="AK149" t="s">
        <v>187</v>
      </c>
      <c r="AL149" t="s">
        <v>187</v>
      </c>
      <c r="AM149" t="s">
        <v>188</v>
      </c>
      <c r="AN149" t="s">
        <v>189</v>
      </c>
      <c r="AO149" t="s">
        <v>6</v>
      </c>
      <c r="AP149" t="s">
        <v>9</v>
      </c>
      <c r="AQ149" t="s">
        <v>53</v>
      </c>
      <c r="AR149" t="s">
        <v>190</v>
      </c>
      <c r="AS149" t="s">
        <v>174</v>
      </c>
      <c r="AT149" t="s">
        <v>191</v>
      </c>
    </row>
    <row r="150" spans="1:46" ht="105" x14ac:dyDescent="0.25">
      <c r="A150" s="5">
        <v>46062.57372685185</v>
      </c>
      <c r="B150" t="s">
        <v>930</v>
      </c>
      <c r="C150" t="s">
        <v>173</v>
      </c>
      <c r="D150" t="s">
        <v>174</v>
      </c>
      <c r="E150" t="s">
        <v>147</v>
      </c>
      <c r="H150" t="s">
        <v>175</v>
      </c>
      <c r="I150" t="s">
        <v>176</v>
      </c>
      <c r="J150" t="s">
        <v>5</v>
      </c>
      <c r="K150" t="s">
        <v>177</v>
      </c>
      <c r="L150" s="6" t="s">
        <v>931</v>
      </c>
      <c r="M150" t="s">
        <v>7</v>
      </c>
      <c r="N150" t="s">
        <v>932</v>
      </c>
      <c r="O150" t="s">
        <v>933</v>
      </c>
      <c r="P150" t="s">
        <v>934</v>
      </c>
      <c r="R150" t="s">
        <v>175</v>
      </c>
      <c r="S150" t="s">
        <v>176</v>
      </c>
      <c r="T150" t="s">
        <v>5</v>
      </c>
      <c r="U150" t="s">
        <v>177</v>
      </c>
      <c r="V150">
        <v>1</v>
      </c>
      <c r="W150" t="s">
        <v>182</v>
      </c>
      <c r="X150" t="s">
        <v>183</v>
      </c>
      <c r="Z150" t="s">
        <v>184</v>
      </c>
      <c r="AF150">
        <v>45975.791666666701</v>
      </c>
      <c r="AI150" t="s">
        <v>185</v>
      </c>
      <c r="AJ150" t="s">
        <v>186</v>
      </c>
      <c r="AK150" t="s">
        <v>187</v>
      </c>
      <c r="AL150" t="s">
        <v>187</v>
      </c>
      <c r="AM150" t="s">
        <v>188</v>
      </c>
      <c r="AN150" t="s">
        <v>189</v>
      </c>
      <c r="AO150" t="s">
        <v>6</v>
      </c>
      <c r="AP150" t="s">
        <v>9</v>
      </c>
      <c r="AQ150" t="s">
        <v>53</v>
      </c>
      <c r="AR150" t="s">
        <v>190</v>
      </c>
      <c r="AS150" t="s">
        <v>174</v>
      </c>
      <c r="AT150" t="s">
        <v>191</v>
      </c>
    </row>
    <row r="151" spans="1:46" ht="105" x14ac:dyDescent="0.25">
      <c r="A151" s="5">
        <v>46062.578587962962</v>
      </c>
      <c r="B151" t="s">
        <v>935</v>
      </c>
      <c r="C151" t="s">
        <v>173</v>
      </c>
      <c r="D151" t="s">
        <v>174</v>
      </c>
      <c r="E151" t="s">
        <v>147</v>
      </c>
      <c r="H151" t="s">
        <v>175</v>
      </c>
      <c r="I151" t="s">
        <v>176</v>
      </c>
      <c r="J151" t="s">
        <v>5</v>
      </c>
      <c r="K151" t="s">
        <v>177</v>
      </c>
      <c r="L151" s="6" t="s">
        <v>931</v>
      </c>
      <c r="M151" t="s">
        <v>7</v>
      </c>
      <c r="N151" t="s">
        <v>936</v>
      </c>
      <c r="O151" t="s">
        <v>937</v>
      </c>
      <c r="P151" t="s">
        <v>938</v>
      </c>
      <c r="R151" t="s">
        <v>175</v>
      </c>
      <c r="S151" t="s">
        <v>176</v>
      </c>
      <c r="T151" t="s">
        <v>5</v>
      </c>
      <c r="U151" t="s">
        <v>177</v>
      </c>
      <c r="V151">
        <v>1</v>
      </c>
      <c r="W151" t="s">
        <v>182</v>
      </c>
      <c r="X151" t="s">
        <v>183</v>
      </c>
      <c r="Z151" t="s">
        <v>184</v>
      </c>
      <c r="AF151">
        <v>45986.791666666701</v>
      </c>
      <c r="AI151" t="s">
        <v>185</v>
      </c>
      <c r="AJ151" t="s">
        <v>186</v>
      </c>
      <c r="AK151" t="s">
        <v>187</v>
      </c>
      <c r="AL151" t="s">
        <v>187</v>
      </c>
      <c r="AM151" t="s">
        <v>188</v>
      </c>
      <c r="AN151" t="s">
        <v>189</v>
      </c>
      <c r="AO151" t="s">
        <v>6</v>
      </c>
      <c r="AP151" t="s">
        <v>9</v>
      </c>
      <c r="AQ151" t="s">
        <v>53</v>
      </c>
      <c r="AR151" t="s">
        <v>190</v>
      </c>
      <c r="AS151" t="s">
        <v>174</v>
      </c>
      <c r="AT151" t="s">
        <v>191</v>
      </c>
    </row>
    <row r="152" spans="1:46" ht="105" x14ac:dyDescent="0.25">
      <c r="A152" s="5">
        <v>46062.584201388891</v>
      </c>
      <c r="B152" t="s">
        <v>939</v>
      </c>
      <c r="C152" t="s">
        <v>173</v>
      </c>
      <c r="D152" t="s">
        <v>174</v>
      </c>
      <c r="E152" t="s">
        <v>147</v>
      </c>
      <c r="H152" t="s">
        <v>175</v>
      </c>
      <c r="I152" t="s">
        <v>176</v>
      </c>
      <c r="J152" t="s">
        <v>5</v>
      </c>
      <c r="K152" t="s">
        <v>177</v>
      </c>
      <c r="L152" s="6" t="s">
        <v>940</v>
      </c>
      <c r="M152" t="s">
        <v>7</v>
      </c>
      <c r="N152" t="s">
        <v>941</v>
      </c>
      <c r="O152" t="s">
        <v>942</v>
      </c>
      <c r="P152" t="s">
        <v>943</v>
      </c>
      <c r="R152" t="s">
        <v>175</v>
      </c>
      <c r="S152" t="s">
        <v>176</v>
      </c>
      <c r="T152" t="s">
        <v>5</v>
      </c>
      <c r="U152" t="s">
        <v>177</v>
      </c>
      <c r="V152">
        <v>1</v>
      </c>
      <c r="W152" t="s">
        <v>182</v>
      </c>
      <c r="X152" t="s">
        <v>183</v>
      </c>
      <c r="Z152" t="s">
        <v>184</v>
      </c>
      <c r="AF152">
        <v>45986.791666666701</v>
      </c>
      <c r="AI152" t="s">
        <v>185</v>
      </c>
      <c r="AJ152" t="s">
        <v>186</v>
      </c>
      <c r="AK152" t="s">
        <v>187</v>
      </c>
      <c r="AL152" t="s">
        <v>187</v>
      </c>
      <c r="AM152" t="s">
        <v>188</v>
      </c>
      <c r="AN152" t="s">
        <v>189</v>
      </c>
      <c r="AO152" t="s">
        <v>6</v>
      </c>
      <c r="AP152" t="s">
        <v>9</v>
      </c>
      <c r="AQ152" t="s">
        <v>53</v>
      </c>
      <c r="AR152" t="s">
        <v>190</v>
      </c>
      <c r="AS152" t="s">
        <v>174</v>
      </c>
      <c r="AT152" t="s">
        <v>191</v>
      </c>
    </row>
    <row r="153" spans="1:46" ht="105" x14ac:dyDescent="0.25">
      <c r="A153" s="5">
        <v>46056.474918981483</v>
      </c>
      <c r="B153" t="s">
        <v>944</v>
      </c>
      <c r="C153" t="s">
        <v>173</v>
      </c>
      <c r="D153" t="s">
        <v>174</v>
      </c>
      <c r="E153" t="s">
        <v>325</v>
      </c>
      <c r="H153" t="s">
        <v>175</v>
      </c>
      <c r="I153" t="s">
        <v>176</v>
      </c>
      <c r="J153" t="s">
        <v>5</v>
      </c>
      <c r="K153" t="s">
        <v>200</v>
      </c>
      <c r="L153" s="6" t="s">
        <v>945</v>
      </c>
      <c r="M153" t="s">
        <v>75</v>
      </c>
      <c r="N153" t="s">
        <v>946</v>
      </c>
      <c r="O153" t="s">
        <v>947</v>
      </c>
      <c r="P153" t="s">
        <v>948</v>
      </c>
      <c r="Q153">
        <v>107</v>
      </c>
      <c r="R153" t="s">
        <v>175</v>
      </c>
      <c r="S153" t="s">
        <v>176</v>
      </c>
      <c r="T153" t="s">
        <v>5</v>
      </c>
      <c r="U153" t="s">
        <v>200</v>
      </c>
      <c r="V153">
        <v>4</v>
      </c>
      <c r="W153" t="s">
        <v>330</v>
      </c>
      <c r="X153" t="s">
        <v>331</v>
      </c>
      <c r="Z153" t="s">
        <v>191</v>
      </c>
      <c r="AB153" t="s">
        <v>949</v>
      </c>
      <c r="AF153">
        <v>46043.791666666701</v>
      </c>
      <c r="AI153" t="s">
        <v>220</v>
      </c>
      <c r="AJ153" t="s">
        <v>186</v>
      </c>
      <c r="AK153" t="s">
        <v>207</v>
      </c>
      <c r="AL153" t="s">
        <v>207</v>
      </c>
      <c r="AM153" t="s">
        <v>208</v>
      </c>
      <c r="AN153" t="s">
        <v>189</v>
      </c>
      <c r="AO153" t="s">
        <v>26</v>
      </c>
      <c r="AP153" t="s">
        <v>32</v>
      </c>
      <c r="AQ153" t="s">
        <v>53</v>
      </c>
      <c r="AR153" t="s">
        <v>190</v>
      </c>
      <c r="AS153" t="s">
        <v>174</v>
      </c>
      <c r="AT153" t="s">
        <v>191</v>
      </c>
    </row>
    <row r="154" spans="1:46" ht="105" x14ac:dyDescent="0.25">
      <c r="A154" s="5">
        <v>46056.474918981483</v>
      </c>
      <c r="B154" t="s">
        <v>944</v>
      </c>
      <c r="C154" t="s">
        <v>173</v>
      </c>
      <c r="D154" t="s">
        <v>174</v>
      </c>
      <c r="E154" t="s">
        <v>325</v>
      </c>
      <c r="H154" t="s">
        <v>175</v>
      </c>
      <c r="I154" t="s">
        <v>176</v>
      </c>
      <c r="J154" t="s">
        <v>5</v>
      </c>
      <c r="K154" t="s">
        <v>200</v>
      </c>
      <c r="L154" s="6" t="s">
        <v>945</v>
      </c>
      <c r="M154" t="s">
        <v>75</v>
      </c>
      <c r="N154" t="s">
        <v>946</v>
      </c>
      <c r="O154" t="s">
        <v>947</v>
      </c>
      <c r="P154" t="s">
        <v>948</v>
      </c>
      <c r="Q154">
        <v>124</v>
      </c>
      <c r="R154" t="s">
        <v>175</v>
      </c>
      <c r="S154" t="s">
        <v>176</v>
      </c>
      <c r="T154" t="s">
        <v>5</v>
      </c>
      <c r="U154" t="s">
        <v>200</v>
      </c>
      <c r="V154">
        <v>16</v>
      </c>
      <c r="W154" t="s">
        <v>330</v>
      </c>
      <c r="X154" t="s">
        <v>331</v>
      </c>
      <c r="Z154" t="s">
        <v>191</v>
      </c>
      <c r="AB154" t="s">
        <v>950</v>
      </c>
      <c r="AF154">
        <v>46043.791666666701</v>
      </c>
      <c r="AI154" t="s">
        <v>220</v>
      </c>
      <c r="AJ154" t="s">
        <v>186</v>
      </c>
      <c r="AK154" t="s">
        <v>207</v>
      </c>
      <c r="AL154" t="s">
        <v>207</v>
      </c>
      <c r="AM154" t="s">
        <v>208</v>
      </c>
      <c r="AN154" t="s">
        <v>189</v>
      </c>
      <c r="AO154" t="s">
        <v>26</v>
      </c>
      <c r="AP154" t="s">
        <v>32</v>
      </c>
      <c r="AQ154" t="s">
        <v>53</v>
      </c>
      <c r="AR154" t="s">
        <v>190</v>
      </c>
      <c r="AS154" t="s">
        <v>174</v>
      </c>
      <c r="AT154" t="s">
        <v>191</v>
      </c>
    </row>
    <row r="155" spans="1:46" ht="150" x14ac:dyDescent="0.25">
      <c r="A155" s="5">
        <v>46063.689166666663</v>
      </c>
      <c r="B155" t="s">
        <v>951</v>
      </c>
      <c r="C155" t="s">
        <v>173</v>
      </c>
      <c r="D155" t="s">
        <v>174</v>
      </c>
      <c r="E155" t="s">
        <v>210</v>
      </c>
      <c r="G155" t="s">
        <v>392</v>
      </c>
      <c r="H155" t="s">
        <v>175</v>
      </c>
      <c r="I155" t="s">
        <v>176</v>
      </c>
      <c r="J155" t="s">
        <v>5</v>
      </c>
      <c r="K155" t="s">
        <v>177</v>
      </c>
      <c r="L155" s="6" t="s">
        <v>952</v>
      </c>
      <c r="M155" t="s">
        <v>42</v>
      </c>
      <c r="N155" t="s">
        <v>953</v>
      </c>
      <c r="O155" t="s">
        <v>954</v>
      </c>
      <c r="P155" t="s">
        <v>955</v>
      </c>
      <c r="V155">
        <v>1</v>
      </c>
      <c r="AB155" t="s">
        <v>956</v>
      </c>
      <c r="AF155">
        <v>45575.833333333299</v>
      </c>
      <c r="AJ155" t="s">
        <v>345</v>
      </c>
      <c r="AK155" t="s">
        <v>333</v>
      </c>
      <c r="AL155" t="s">
        <v>346</v>
      </c>
      <c r="AM155" t="s">
        <v>208</v>
      </c>
      <c r="AN155" t="s">
        <v>189</v>
      </c>
      <c r="AO155" t="s">
        <v>53</v>
      </c>
      <c r="AP155" t="s">
        <v>53</v>
      </c>
      <c r="AQ155" t="s">
        <v>53</v>
      </c>
      <c r="AR155" t="s">
        <v>190</v>
      </c>
      <c r="AS155" t="s">
        <v>174</v>
      </c>
      <c r="AT155" t="s">
        <v>347</v>
      </c>
    </row>
    <row r="156" spans="1:46" ht="75" x14ac:dyDescent="0.25">
      <c r="A156" s="5">
        <v>46077.481585648151</v>
      </c>
      <c r="B156" t="s">
        <v>957</v>
      </c>
      <c r="C156" t="s">
        <v>173</v>
      </c>
      <c r="D156" t="s">
        <v>198</v>
      </c>
      <c r="E156" t="s">
        <v>199</v>
      </c>
      <c r="H156" t="s">
        <v>175</v>
      </c>
      <c r="I156" t="s">
        <v>176</v>
      </c>
      <c r="J156" t="s">
        <v>5</v>
      </c>
      <c r="K156" t="s">
        <v>200</v>
      </c>
      <c r="L156" s="6" t="s">
        <v>958</v>
      </c>
      <c r="M156" t="s">
        <v>38</v>
      </c>
      <c r="N156" t="s">
        <v>959</v>
      </c>
      <c r="O156" t="s">
        <v>960</v>
      </c>
      <c r="P156" t="s">
        <v>961</v>
      </c>
      <c r="Q156">
        <v>2</v>
      </c>
      <c r="R156" t="s">
        <v>175</v>
      </c>
      <c r="S156" t="s">
        <v>176</v>
      </c>
      <c r="T156" t="s">
        <v>5</v>
      </c>
      <c r="U156" t="s">
        <v>200</v>
      </c>
      <c r="V156">
        <v>1</v>
      </c>
      <c r="W156" t="s">
        <v>659</v>
      </c>
      <c r="X156" t="s">
        <v>962</v>
      </c>
      <c r="Z156" t="s">
        <v>811</v>
      </c>
      <c r="AF156">
        <v>46068.791666666701</v>
      </c>
      <c r="AI156" t="s">
        <v>185</v>
      </c>
      <c r="AJ156" t="s">
        <v>186</v>
      </c>
      <c r="AK156" t="s">
        <v>706</v>
      </c>
      <c r="AL156" t="s">
        <v>706</v>
      </c>
      <c r="AM156" t="s">
        <v>208</v>
      </c>
      <c r="AN156" t="s">
        <v>189</v>
      </c>
      <c r="AO156" t="s">
        <v>64</v>
      </c>
      <c r="AP156" t="s">
        <v>69</v>
      </c>
      <c r="AQ156" t="s">
        <v>53</v>
      </c>
      <c r="AR156" t="s">
        <v>190</v>
      </c>
      <c r="AS156" t="s">
        <v>198</v>
      </c>
      <c r="AT156" t="s">
        <v>347</v>
      </c>
    </row>
    <row r="157" spans="1:46" ht="135" x14ac:dyDescent="0.25">
      <c r="A157" s="5">
        <v>46065.725451388891</v>
      </c>
      <c r="B157" t="s">
        <v>963</v>
      </c>
      <c r="C157" t="s">
        <v>173</v>
      </c>
      <c r="D157" t="s">
        <v>174</v>
      </c>
      <c r="E157" t="s">
        <v>184</v>
      </c>
      <c r="H157" t="s">
        <v>175</v>
      </c>
      <c r="I157" t="s">
        <v>176</v>
      </c>
      <c r="J157" t="s">
        <v>5</v>
      </c>
      <c r="K157" t="s">
        <v>200</v>
      </c>
      <c r="L157" s="6" t="s">
        <v>964</v>
      </c>
      <c r="M157" t="s">
        <v>103</v>
      </c>
      <c r="N157" t="s">
        <v>965</v>
      </c>
      <c r="O157" t="s">
        <v>966</v>
      </c>
      <c r="P157" t="s">
        <v>967</v>
      </c>
      <c r="Q157">
        <v>2</v>
      </c>
      <c r="R157" t="s">
        <v>175</v>
      </c>
      <c r="S157" t="s">
        <v>176</v>
      </c>
      <c r="T157" t="s">
        <v>5</v>
      </c>
      <c r="U157" t="s">
        <v>200</v>
      </c>
      <c r="V157">
        <v>8</v>
      </c>
      <c r="W157" t="s">
        <v>719</v>
      </c>
      <c r="X157" t="s">
        <v>720</v>
      </c>
      <c r="Z157" t="s">
        <v>721</v>
      </c>
      <c r="AB157" t="s">
        <v>968</v>
      </c>
      <c r="AF157">
        <v>46044.791666666701</v>
      </c>
      <c r="AI157" t="s">
        <v>220</v>
      </c>
      <c r="AJ157" t="s">
        <v>186</v>
      </c>
      <c r="AK157" t="s">
        <v>207</v>
      </c>
      <c r="AL157" t="s">
        <v>207</v>
      </c>
      <c r="AM157" t="s">
        <v>208</v>
      </c>
      <c r="AN157" t="s">
        <v>189</v>
      </c>
      <c r="AO157" t="s">
        <v>49</v>
      </c>
      <c r="AP157" t="s">
        <v>49</v>
      </c>
      <c r="AQ157" t="s">
        <v>53</v>
      </c>
      <c r="AR157" t="s">
        <v>190</v>
      </c>
      <c r="AS157" t="s">
        <v>174</v>
      </c>
      <c r="AT157" t="s">
        <v>191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256DC-ACA1-4F89-9F87-FF22FB82D682}">
  <dimension ref="A1:AT157"/>
  <sheetViews>
    <sheetView topLeftCell="O38" workbookViewId="0">
      <selection activeCell="A3" sqref="A3:AT157"/>
    </sheetView>
  </sheetViews>
  <sheetFormatPr defaultRowHeight="15" x14ac:dyDescent="0.25"/>
  <cols>
    <col min="1" max="1" width="14.5703125" bestFit="1" customWidth="1"/>
    <col min="2" max="2" width="15.7109375" bestFit="1" customWidth="1"/>
    <col min="3" max="3" width="12.5703125" bestFit="1" customWidth="1"/>
    <col min="4" max="4" width="22.28515625" bestFit="1" customWidth="1"/>
    <col min="5" max="5" width="38.140625" bestFit="1" customWidth="1"/>
    <col min="6" max="6" width="24.85546875" bestFit="1" customWidth="1"/>
    <col min="7" max="7" width="20.42578125" bestFit="1" customWidth="1"/>
    <col min="8" max="8" width="18.42578125" bestFit="1" customWidth="1"/>
    <col min="9" max="9" width="11.42578125" bestFit="1" customWidth="1"/>
    <col min="10" max="10" width="11.28515625" bestFit="1" customWidth="1"/>
    <col min="11" max="11" width="9.85546875" bestFit="1" customWidth="1"/>
    <col min="12" max="12" width="255.7109375" bestFit="1" customWidth="1"/>
    <col min="13" max="13" width="48" bestFit="1" customWidth="1"/>
    <col min="14" max="14" width="21.42578125" bestFit="1" customWidth="1"/>
    <col min="15" max="15" width="12.5703125" bestFit="1" customWidth="1"/>
    <col min="16" max="16" width="23.7109375" bestFit="1" customWidth="1"/>
    <col min="17" max="17" width="14.85546875" bestFit="1" customWidth="1"/>
    <col min="18" max="18" width="22.85546875" bestFit="1" customWidth="1"/>
    <col min="19" max="19" width="15.28515625" bestFit="1" customWidth="1"/>
    <col min="20" max="20" width="12.140625" bestFit="1" customWidth="1"/>
    <col min="21" max="21" width="10.85546875" bestFit="1" customWidth="1"/>
    <col min="22" max="22" width="11" bestFit="1" customWidth="1"/>
    <col min="23" max="23" width="182.42578125" bestFit="1" customWidth="1"/>
    <col min="24" max="24" width="166" bestFit="1" customWidth="1"/>
    <col min="25" max="25" width="19.140625" bestFit="1" customWidth="1"/>
    <col min="26" max="26" width="18.140625" bestFit="1" customWidth="1"/>
    <col min="27" max="27" width="16.28515625" bestFit="1" customWidth="1"/>
    <col min="28" max="28" width="50" bestFit="1" customWidth="1"/>
    <col min="29" max="29" width="14" bestFit="1" customWidth="1"/>
    <col min="30" max="30" width="17.140625" bestFit="1" customWidth="1"/>
    <col min="31" max="31" width="19.5703125" bestFit="1" customWidth="1"/>
    <col min="32" max="32" width="12" bestFit="1" customWidth="1"/>
    <col min="33" max="33" width="18.28515625" bestFit="1" customWidth="1"/>
    <col min="34" max="34" width="20.28515625" bestFit="1" customWidth="1"/>
    <col min="35" max="35" width="18.5703125" bestFit="1" customWidth="1"/>
    <col min="36" max="36" width="9.28515625" bestFit="1" customWidth="1"/>
    <col min="37" max="37" width="15.85546875" bestFit="1" customWidth="1"/>
    <col min="38" max="38" width="18.85546875" bestFit="1" customWidth="1"/>
    <col min="39" max="39" width="20" bestFit="1" customWidth="1"/>
    <col min="40" max="40" width="29.42578125" bestFit="1" customWidth="1"/>
    <col min="41" max="41" width="34" bestFit="1" customWidth="1"/>
    <col min="42" max="42" width="38.28515625" bestFit="1" customWidth="1"/>
    <col min="43" max="43" width="28" bestFit="1" customWidth="1"/>
    <col min="44" max="44" width="14.28515625" bestFit="1" customWidth="1"/>
    <col min="45" max="45" width="26.7109375" bestFit="1" customWidth="1"/>
    <col min="46" max="46" width="22.7109375" bestFit="1" customWidth="1"/>
  </cols>
  <sheetData>
    <row r="1" spans="1:46" x14ac:dyDescent="0.25">
      <c r="A1" s="4" t="s">
        <v>969</v>
      </c>
    </row>
    <row r="3" spans="1:46" x14ac:dyDescent="0.25">
      <c r="A3" t="s">
        <v>127</v>
      </c>
      <c r="B3" t="s">
        <v>128</v>
      </c>
      <c r="C3" t="s">
        <v>129</v>
      </c>
      <c r="D3" t="s">
        <v>130</v>
      </c>
      <c r="E3" t="s">
        <v>131</v>
      </c>
      <c r="F3" t="s">
        <v>132</v>
      </c>
      <c r="G3" t="s">
        <v>133</v>
      </c>
      <c r="H3" t="s">
        <v>134</v>
      </c>
      <c r="I3" t="s">
        <v>135</v>
      </c>
      <c r="J3" t="s">
        <v>136</v>
      </c>
      <c r="K3" t="s">
        <v>0</v>
      </c>
      <c r="L3" t="s">
        <v>137</v>
      </c>
      <c r="M3" t="s">
        <v>138</v>
      </c>
      <c r="N3" t="s">
        <v>139</v>
      </c>
      <c r="O3" t="s">
        <v>140</v>
      </c>
      <c r="P3" t="s">
        <v>141</v>
      </c>
      <c r="Q3" t="s">
        <v>142</v>
      </c>
      <c r="R3" t="s">
        <v>143</v>
      </c>
      <c r="S3" t="s">
        <v>144</v>
      </c>
      <c r="T3" t="s">
        <v>145</v>
      </c>
      <c r="U3" t="s">
        <v>146</v>
      </c>
      <c r="V3" t="s">
        <v>147</v>
      </c>
      <c r="W3" t="s">
        <v>148</v>
      </c>
      <c r="X3" t="s">
        <v>149</v>
      </c>
      <c r="Y3" t="s">
        <v>150</v>
      </c>
      <c r="Z3" t="s">
        <v>151</v>
      </c>
      <c r="AA3" t="s">
        <v>152</v>
      </c>
      <c r="AB3" t="s">
        <v>153</v>
      </c>
      <c r="AC3" t="s">
        <v>154</v>
      </c>
      <c r="AD3" t="s">
        <v>155</v>
      </c>
      <c r="AE3" t="s">
        <v>156</v>
      </c>
      <c r="AF3" t="s">
        <v>157</v>
      </c>
      <c r="AG3" t="s">
        <v>158</v>
      </c>
      <c r="AH3" t="s">
        <v>159</v>
      </c>
      <c r="AI3" t="s">
        <v>160</v>
      </c>
      <c r="AJ3" t="s">
        <v>161</v>
      </c>
      <c r="AK3" t="s">
        <v>162</v>
      </c>
      <c r="AL3" t="s">
        <v>163</v>
      </c>
      <c r="AM3" t="s">
        <v>164</v>
      </c>
      <c r="AN3" t="s">
        <v>165</v>
      </c>
      <c r="AO3" t="s">
        <v>166</v>
      </c>
      <c r="AP3" t="s">
        <v>167</v>
      </c>
      <c r="AQ3" t="s">
        <v>168</v>
      </c>
      <c r="AR3" t="s">
        <v>169</v>
      </c>
      <c r="AS3" t="s">
        <v>170</v>
      </c>
      <c r="AT3" t="s">
        <v>171</v>
      </c>
    </row>
    <row r="4" spans="1:46" ht="105" x14ac:dyDescent="0.25">
      <c r="A4" s="5">
        <v>46058.572152777779</v>
      </c>
      <c r="B4" t="s">
        <v>172</v>
      </c>
      <c r="C4" t="s">
        <v>173</v>
      </c>
      <c r="D4" t="s">
        <v>174</v>
      </c>
      <c r="E4" t="s">
        <v>147</v>
      </c>
      <c r="H4" t="s">
        <v>175</v>
      </c>
      <c r="I4" t="s">
        <v>176</v>
      </c>
      <c r="J4" t="s">
        <v>5</v>
      </c>
      <c r="K4" t="s">
        <v>177</v>
      </c>
      <c r="L4" s="6" t="s">
        <v>178</v>
      </c>
      <c r="M4" t="s">
        <v>21</v>
      </c>
      <c r="N4" t="s">
        <v>179</v>
      </c>
      <c r="O4" t="s">
        <v>180</v>
      </c>
      <c r="P4" t="s">
        <v>181</v>
      </c>
      <c r="R4" t="s">
        <v>175</v>
      </c>
      <c r="S4" t="s">
        <v>176</v>
      </c>
      <c r="T4" t="s">
        <v>5</v>
      </c>
      <c r="U4" t="s">
        <v>177</v>
      </c>
      <c r="V4">
        <v>1</v>
      </c>
      <c r="W4" t="s">
        <v>182</v>
      </c>
      <c r="X4" t="s">
        <v>183</v>
      </c>
      <c r="Z4" t="s">
        <v>184</v>
      </c>
      <c r="AF4">
        <v>45992.791666666701</v>
      </c>
      <c r="AI4" t="s">
        <v>185</v>
      </c>
      <c r="AJ4" t="s">
        <v>186</v>
      </c>
      <c r="AK4" t="s">
        <v>187</v>
      </c>
      <c r="AL4" t="s">
        <v>187</v>
      </c>
      <c r="AM4" t="s">
        <v>188</v>
      </c>
      <c r="AN4" t="s">
        <v>189</v>
      </c>
      <c r="AO4" t="s">
        <v>6</v>
      </c>
      <c r="AP4" t="s">
        <v>9</v>
      </c>
      <c r="AQ4" t="s">
        <v>53</v>
      </c>
      <c r="AR4" t="s">
        <v>190</v>
      </c>
      <c r="AS4" t="s">
        <v>174</v>
      </c>
      <c r="AT4" t="s">
        <v>191</v>
      </c>
    </row>
    <row r="5" spans="1:46" ht="105" x14ac:dyDescent="0.25">
      <c r="A5" s="5">
        <v>46058.576956018522</v>
      </c>
      <c r="B5" t="s">
        <v>192</v>
      </c>
      <c r="C5" t="s">
        <v>173</v>
      </c>
      <c r="D5" t="s">
        <v>174</v>
      </c>
      <c r="E5" t="s">
        <v>147</v>
      </c>
      <c r="H5" t="s">
        <v>175</v>
      </c>
      <c r="I5" t="s">
        <v>176</v>
      </c>
      <c r="J5" t="s">
        <v>5</v>
      </c>
      <c r="K5" t="s">
        <v>177</v>
      </c>
      <c r="L5" s="6" t="s">
        <v>193</v>
      </c>
      <c r="M5" t="s">
        <v>21</v>
      </c>
      <c r="N5" t="s">
        <v>194</v>
      </c>
      <c r="O5" t="s">
        <v>195</v>
      </c>
      <c r="P5" t="s">
        <v>196</v>
      </c>
      <c r="R5" t="s">
        <v>175</v>
      </c>
      <c r="S5" t="s">
        <v>176</v>
      </c>
      <c r="T5" t="s">
        <v>5</v>
      </c>
      <c r="U5" t="s">
        <v>177</v>
      </c>
      <c r="V5">
        <v>1</v>
      </c>
      <c r="W5" t="s">
        <v>182</v>
      </c>
      <c r="X5" t="s">
        <v>183</v>
      </c>
      <c r="Z5" t="s">
        <v>184</v>
      </c>
      <c r="AF5">
        <v>45993.791666666701</v>
      </c>
      <c r="AI5" t="s">
        <v>185</v>
      </c>
      <c r="AJ5" t="s">
        <v>186</v>
      </c>
      <c r="AK5" t="s">
        <v>187</v>
      </c>
      <c r="AL5" t="s">
        <v>187</v>
      </c>
      <c r="AM5" t="s">
        <v>188</v>
      </c>
      <c r="AN5" t="s">
        <v>189</v>
      </c>
      <c r="AO5" t="s">
        <v>6</v>
      </c>
      <c r="AP5" t="s">
        <v>9</v>
      </c>
      <c r="AQ5" t="s">
        <v>53</v>
      </c>
      <c r="AR5" t="s">
        <v>190</v>
      </c>
      <c r="AS5" t="s">
        <v>174</v>
      </c>
      <c r="AT5" t="s">
        <v>191</v>
      </c>
    </row>
    <row r="6" spans="1:46" ht="375" x14ac:dyDescent="0.25">
      <c r="A6" s="5">
        <v>46066.553252314814</v>
      </c>
      <c r="B6" t="s">
        <v>197</v>
      </c>
      <c r="C6" t="s">
        <v>173</v>
      </c>
      <c r="D6" t="s">
        <v>198</v>
      </c>
      <c r="E6" t="s">
        <v>199</v>
      </c>
      <c r="H6" t="s">
        <v>175</v>
      </c>
      <c r="I6" t="s">
        <v>176</v>
      </c>
      <c r="J6" t="s">
        <v>5</v>
      </c>
      <c r="K6" t="s">
        <v>200</v>
      </c>
      <c r="L6" s="6" t="s">
        <v>201</v>
      </c>
      <c r="M6" t="s">
        <v>10</v>
      </c>
      <c r="N6" t="s">
        <v>202</v>
      </c>
      <c r="O6" t="s">
        <v>203</v>
      </c>
      <c r="P6" t="s">
        <v>204</v>
      </c>
      <c r="Q6">
        <v>7</v>
      </c>
      <c r="R6" t="s">
        <v>175</v>
      </c>
      <c r="S6" t="s">
        <v>176</v>
      </c>
      <c r="T6" t="s">
        <v>5</v>
      </c>
      <c r="U6" t="s">
        <v>200</v>
      </c>
      <c r="V6">
        <v>5</v>
      </c>
      <c r="W6" t="s">
        <v>205</v>
      </c>
      <c r="X6" t="s">
        <v>206</v>
      </c>
      <c r="Z6" t="s">
        <v>138</v>
      </c>
      <c r="AF6">
        <v>46051.791666666701</v>
      </c>
      <c r="AI6" t="s">
        <v>185</v>
      </c>
      <c r="AJ6" t="s">
        <v>186</v>
      </c>
      <c r="AK6" t="s">
        <v>207</v>
      </c>
      <c r="AL6" t="s">
        <v>207</v>
      </c>
      <c r="AM6" t="s">
        <v>208</v>
      </c>
      <c r="AN6" t="s">
        <v>189</v>
      </c>
      <c r="AO6" t="s">
        <v>15</v>
      </c>
      <c r="AP6" t="s">
        <v>23</v>
      </c>
      <c r="AQ6" t="s">
        <v>53</v>
      </c>
      <c r="AR6" t="s">
        <v>190</v>
      </c>
      <c r="AS6" t="s">
        <v>198</v>
      </c>
      <c r="AT6" t="s">
        <v>138</v>
      </c>
    </row>
    <row r="7" spans="1:46" ht="375" x14ac:dyDescent="0.25">
      <c r="A7" s="5">
        <v>46066.553252314814</v>
      </c>
      <c r="B7" t="s">
        <v>197</v>
      </c>
      <c r="C7" t="s">
        <v>173</v>
      </c>
      <c r="D7" t="s">
        <v>198</v>
      </c>
      <c r="E7" t="s">
        <v>199</v>
      </c>
      <c r="H7" t="s">
        <v>175</v>
      </c>
      <c r="I7" t="s">
        <v>176</v>
      </c>
      <c r="J7" t="s">
        <v>5</v>
      </c>
      <c r="K7" t="s">
        <v>200</v>
      </c>
      <c r="L7" s="6" t="s">
        <v>201</v>
      </c>
      <c r="M7" t="s">
        <v>10</v>
      </c>
      <c r="N7" t="s">
        <v>202</v>
      </c>
      <c r="O7" t="s">
        <v>203</v>
      </c>
      <c r="P7" t="s">
        <v>204</v>
      </c>
      <c r="Q7">
        <v>6</v>
      </c>
      <c r="R7" t="s">
        <v>175</v>
      </c>
      <c r="S7" t="s">
        <v>176</v>
      </c>
      <c r="T7" t="s">
        <v>5</v>
      </c>
      <c r="U7" t="s">
        <v>200</v>
      </c>
      <c r="V7">
        <v>8</v>
      </c>
      <c r="W7" t="s">
        <v>205</v>
      </c>
      <c r="X7" t="s">
        <v>206</v>
      </c>
      <c r="Z7" t="s">
        <v>138</v>
      </c>
      <c r="AF7">
        <v>46051.791666666701</v>
      </c>
      <c r="AI7" t="s">
        <v>185</v>
      </c>
      <c r="AJ7" t="s">
        <v>186</v>
      </c>
      <c r="AK7" t="s">
        <v>207</v>
      </c>
      <c r="AL7" t="s">
        <v>207</v>
      </c>
      <c r="AM7" t="s">
        <v>208</v>
      </c>
      <c r="AN7" t="s">
        <v>189</v>
      </c>
      <c r="AO7" t="s">
        <v>15</v>
      </c>
      <c r="AP7" t="s">
        <v>23</v>
      </c>
      <c r="AQ7" t="s">
        <v>53</v>
      </c>
      <c r="AR7" t="s">
        <v>190</v>
      </c>
      <c r="AS7" t="s">
        <v>198</v>
      </c>
      <c r="AT7" t="s">
        <v>138</v>
      </c>
    </row>
    <row r="8" spans="1:46" ht="375" x14ac:dyDescent="0.25">
      <c r="A8" s="5">
        <v>46066.553252314814</v>
      </c>
      <c r="B8" t="s">
        <v>197</v>
      </c>
      <c r="C8" t="s">
        <v>173</v>
      </c>
      <c r="D8" t="s">
        <v>198</v>
      </c>
      <c r="E8" t="s">
        <v>199</v>
      </c>
      <c r="H8" t="s">
        <v>175</v>
      </c>
      <c r="I8" t="s">
        <v>176</v>
      </c>
      <c r="J8" t="s">
        <v>5</v>
      </c>
      <c r="K8" t="s">
        <v>200</v>
      </c>
      <c r="L8" s="6" t="s">
        <v>201</v>
      </c>
      <c r="M8" t="s">
        <v>10</v>
      </c>
      <c r="N8" t="s">
        <v>202</v>
      </c>
      <c r="O8" t="s">
        <v>203</v>
      </c>
      <c r="P8" t="s">
        <v>204</v>
      </c>
      <c r="Q8">
        <v>5</v>
      </c>
      <c r="R8" t="s">
        <v>175</v>
      </c>
      <c r="S8" t="s">
        <v>176</v>
      </c>
      <c r="T8" t="s">
        <v>5</v>
      </c>
      <c r="U8" t="s">
        <v>200</v>
      </c>
      <c r="V8">
        <v>80</v>
      </c>
      <c r="W8" t="s">
        <v>205</v>
      </c>
      <c r="X8" t="s">
        <v>206</v>
      </c>
      <c r="Z8" t="s">
        <v>138</v>
      </c>
      <c r="AF8">
        <v>46051.791666666701</v>
      </c>
      <c r="AI8" t="s">
        <v>185</v>
      </c>
      <c r="AJ8" t="s">
        <v>186</v>
      </c>
      <c r="AK8" t="s">
        <v>207</v>
      </c>
      <c r="AL8" t="s">
        <v>207</v>
      </c>
      <c r="AM8" t="s">
        <v>208</v>
      </c>
      <c r="AN8" t="s">
        <v>189</v>
      </c>
      <c r="AO8" t="s">
        <v>15</v>
      </c>
      <c r="AP8" t="s">
        <v>23</v>
      </c>
      <c r="AQ8" t="s">
        <v>53</v>
      </c>
      <c r="AR8" t="s">
        <v>190</v>
      </c>
      <c r="AS8" t="s">
        <v>198</v>
      </c>
      <c r="AT8" t="s">
        <v>138</v>
      </c>
    </row>
    <row r="9" spans="1:46" ht="375" x14ac:dyDescent="0.25">
      <c r="A9" s="5">
        <v>46066.553252314814</v>
      </c>
      <c r="B9" t="s">
        <v>197</v>
      </c>
      <c r="C9" t="s">
        <v>173</v>
      </c>
      <c r="D9" t="s">
        <v>198</v>
      </c>
      <c r="E9" t="s">
        <v>199</v>
      </c>
      <c r="H9" t="s">
        <v>175</v>
      </c>
      <c r="I9" t="s">
        <v>176</v>
      </c>
      <c r="J9" t="s">
        <v>5</v>
      </c>
      <c r="K9" t="s">
        <v>200</v>
      </c>
      <c r="L9" s="6" t="s">
        <v>201</v>
      </c>
      <c r="M9" t="s">
        <v>10</v>
      </c>
      <c r="N9" t="s">
        <v>202</v>
      </c>
      <c r="O9" t="s">
        <v>203</v>
      </c>
      <c r="P9" t="s">
        <v>204</v>
      </c>
      <c r="Q9">
        <v>4</v>
      </c>
      <c r="R9" t="s">
        <v>175</v>
      </c>
      <c r="S9" t="s">
        <v>176</v>
      </c>
      <c r="T9" t="s">
        <v>11</v>
      </c>
      <c r="U9" t="s">
        <v>200</v>
      </c>
      <c r="V9">
        <v>200</v>
      </c>
      <c r="W9" t="s">
        <v>205</v>
      </c>
      <c r="X9" t="s">
        <v>206</v>
      </c>
      <c r="Z9" t="s">
        <v>138</v>
      </c>
      <c r="AF9">
        <v>46051.791666666701</v>
      </c>
      <c r="AI9" t="s">
        <v>185</v>
      </c>
      <c r="AJ9" t="s">
        <v>186</v>
      </c>
      <c r="AK9" t="s">
        <v>207</v>
      </c>
      <c r="AL9" t="s">
        <v>207</v>
      </c>
      <c r="AM9" t="s">
        <v>208</v>
      </c>
      <c r="AN9" t="s">
        <v>189</v>
      </c>
      <c r="AO9" t="s">
        <v>15</v>
      </c>
      <c r="AP9" t="s">
        <v>23</v>
      </c>
      <c r="AQ9" t="s">
        <v>53</v>
      </c>
      <c r="AR9" t="s">
        <v>190</v>
      </c>
      <c r="AS9" t="s">
        <v>198</v>
      </c>
      <c r="AT9" t="s">
        <v>138</v>
      </c>
    </row>
    <row r="10" spans="1:46" ht="375" x14ac:dyDescent="0.25">
      <c r="A10" s="5">
        <v>46066.553252314814</v>
      </c>
      <c r="B10" t="s">
        <v>197</v>
      </c>
      <c r="C10" t="s">
        <v>173</v>
      </c>
      <c r="D10" t="s">
        <v>198</v>
      </c>
      <c r="E10" t="s">
        <v>199</v>
      </c>
      <c r="H10" t="s">
        <v>175</v>
      </c>
      <c r="I10" t="s">
        <v>176</v>
      </c>
      <c r="J10" t="s">
        <v>5</v>
      </c>
      <c r="K10" t="s">
        <v>200</v>
      </c>
      <c r="L10" s="6" t="s">
        <v>201</v>
      </c>
      <c r="M10" t="s">
        <v>10</v>
      </c>
      <c r="N10" t="s">
        <v>202</v>
      </c>
      <c r="O10" t="s">
        <v>203</v>
      </c>
      <c r="P10" t="s">
        <v>204</v>
      </c>
      <c r="Q10">
        <v>3</v>
      </c>
      <c r="R10" t="s">
        <v>175</v>
      </c>
      <c r="S10" t="s">
        <v>176</v>
      </c>
      <c r="T10" t="s">
        <v>11</v>
      </c>
      <c r="U10" t="s">
        <v>200</v>
      </c>
      <c r="V10">
        <v>120</v>
      </c>
      <c r="W10" t="s">
        <v>205</v>
      </c>
      <c r="X10" t="s">
        <v>206</v>
      </c>
      <c r="Z10" t="s">
        <v>138</v>
      </c>
      <c r="AF10">
        <v>46051.791666666701</v>
      </c>
      <c r="AI10" t="s">
        <v>185</v>
      </c>
      <c r="AJ10" t="s">
        <v>186</v>
      </c>
      <c r="AK10" t="s">
        <v>207</v>
      </c>
      <c r="AL10" t="s">
        <v>207</v>
      </c>
      <c r="AM10" t="s">
        <v>208</v>
      </c>
      <c r="AN10" t="s">
        <v>189</v>
      </c>
      <c r="AO10" t="s">
        <v>15</v>
      </c>
      <c r="AP10" t="s">
        <v>23</v>
      </c>
      <c r="AQ10" t="s">
        <v>53</v>
      </c>
      <c r="AR10" t="s">
        <v>190</v>
      </c>
      <c r="AS10" t="s">
        <v>198</v>
      </c>
      <c r="AT10" t="s">
        <v>138</v>
      </c>
    </row>
    <row r="11" spans="1:46" ht="375" x14ac:dyDescent="0.25">
      <c r="A11" s="5">
        <v>46066.553252314814</v>
      </c>
      <c r="B11" t="s">
        <v>197</v>
      </c>
      <c r="C11" t="s">
        <v>173</v>
      </c>
      <c r="D11" t="s">
        <v>198</v>
      </c>
      <c r="E11" t="s">
        <v>199</v>
      </c>
      <c r="H11" t="s">
        <v>175</v>
      </c>
      <c r="I11" t="s">
        <v>176</v>
      </c>
      <c r="J11" t="s">
        <v>5</v>
      </c>
      <c r="K11" t="s">
        <v>200</v>
      </c>
      <c r="L11" s="6" t="s">
        <v>201</v>
      </c>
      <c r="M11" t="s">
        <v>10</v>
      </c>
      <c r="N11" t="s">
        <v>202</v>
      </c>
      <c r="O11" t="s">
        <v>203</v>
      </c>
      <c r="P11" t="s">
        <v>204</v>
      </c>
      <c r="Q11">
        <v>2</v>
      </c>
      <c r="R11" t="s">
        <v>175</v>
      </c>
      <c r="S11" t="s">
        <v>176</v>
      </c>
      <c r="T11" t="s">
        <v>5</v>
      </c>
      <c r="U11" t="s">
        <v>200</v>
      </c>
      <c r="V11">
        <v>8</v>
      </c>
      <c r="W11" t="s">
        <v>205</v>
      </c>
      <c r="X11" t="s">
        <v>206</v>
      </c>
      <c r="Z11" t="s">
        <v>138</v>
      </c>
      <c r="AF11">
        <v>46051.791666666701</v>
      </c>
      <c r="AI11" t="s">
        <v>185</v>
      </c>
      <c r="AJ11" t="s">
        <v>186</v>
      </c>
      <c r="AK11" t="s">
        <v>207</v>
      </c>
      <c r="AL11" t="s">
        <v>207</v>
      </c>
      <c r="AM11" t="s">
        <v>208</v>
      </c>
      <c r="AN11" t="s">
        <v>189</v>
      </c>
      <c r="AO11" t="s">
        <v>15</v>
      </c>
      <c r="AP11" t="s">
        <v>23</v>
      </c>
      <c r="AQ11" t="s">
        <v>53</v>
      </c>
      <c r="AR11" t="s">
        <v>190</v>
      </c>
      <c r="AS11" t="s">
        <v>198</v>
      </c>
      <c r="AT11" t="s">
        <v>138</v>
      </c>
    </row>
    <row r="12" spans="1:46" ht="375" x14ac:dyDescent="0.25">
      <c r="A12" s="5">
        <v>46066.553252314814</v>
      </c>
      <c r="B12" t="s">
        <v>197</v>
      </c>
      <c r="C12" t="s">
        <v>173</v>
      </c>
      <c r="D12" t="s">
        <v>198</v>
      </c>
      <c r="E12" t="s">
        <v>199</v>
      </c>
      <c r="H12" t="s">
        <v>175</v>
      </c>
      <c r="I12" t="s">
        <v>176</v>
      </c>
      <c r="J12" t="s">
        <v>5</v>
      </c>
      <c r="K12" t="s">
        <v>200</v>
      </c>
      <c r="L12" s="6" t="s">
        <v>201</v>
      </c>
      <c r="M12" t="s">
        <v>10</v>
      </c>
      <c r="N12" t="s">
        <v>202</v>
      </c>
      <c r="O12" t="s">
        <v>203</v>
      </c>
      <c r="P12" t="s">
        <v>204</v>
      </c>
      <c r="Q12">
        <v>1</v>
      </c>
      <c r="R12" t="s">
        <v>175</v>
      </c>
      <c r="S12" t="s">
        <v>176</v>
      </c>
      <c r="T12" t="s">
        <v>5</v>
      </c>
      <c r="U12" t="s">
        <v>200</v>
      </c>
      <c r="V12">
        <v>8</v>
      </c>
      <c r="W12" t="s">
        <v>205</v>
      </c>
      <c r="X12" t="s">
        <v>206</v>
      </c>
      <c r="Z12" t="s">
        <v>138</v>
      </c>
      <c r="AF12">
        <v>46051.791666666701</v>
      </c>
      <c r="AI12" t="s">
        <v>185</v>
      </c>
      <c r="AJ12" t="s">
        <v>186</v>
      </c>
      <c r="AK12" t="s">
        <v>207</v>
      </c>
      <c r="AL12" t="s">
        <v>207</v>
      </c>
      <c r="AM12" t="s">
        <v>208</v>
      </c>
      <c r="AN12" t="s">
        <v>189</v>
      </c>
      <c r="AO12" t="s">
        <v>15</v>
      </c>
      <c r="AP12" t="s">
        <v>23</v>
      </c>
      <c r="AQ12" t="s">
        <v>53</v>
      </c>
      <c r="AR12" t="s">
        <v>190</v>
      </c>
      <c r="AS12" t="s">
        <v>198</v>
      </c>
      <c r="AT12" t="s">
        <v>138</v>
      </c>
    </row>
    <row r="13" spans="1:46" ht="150" x14ac:dyDescent="0.25">
      <c r="A13" s="5">
        <v>46057.658564814818</v>
      </c>
      <c r="B13" t="s">
        <v>209</v>
      </c>
      <c r="C13" t="s">
        <v>173</v>
      </c>
      <c r="D13" t="s">
        <v>174</v>
      </c>
      <c r="E13" t="s">
        <v>210</v>
      </c>
      <c r="G13" t="s">
        <v>211</v>
      </c>
      <c r="H13" t="s">
        <v>175</v>
      </c>
      <c r="I13" t="s">
        <v>176</v>
      </c>
      <c r="J13" t="s">
        <v>5</v>
      </c>
      <c r="K13" t="s">
        <v>200</v>
      </c>
      <c r="L13" s="6" t="s">
        <v>212</v>
      </c>
      <c r="M13" t="s">
        <v>25</v>
      </c>
      <c r="N13" t="s">
        <v>213</v>
      </c>
      <c r="O13" t="s">
        <v>214</v>
      </c>
      <c r="P13" t="s">
        <v>215</v>
      </c>
      <c r="Q13">
        <v>14</v>
      </c>
      <c r="R13" t="s">
        <v>175</v>
      </c>
      <c r="S13" t="s">
        <v>176</v>
      </c>
      <c r="T13" t="s">
        <v>5</v>
      </c>
      <c r="U13" t="s">
        <v>200</v>
      </c>
      <c r="V13">
        <v>1</v>
      </c>
      <c r="W13" t="s">
        <v>216</v>
      </c>
      <c r="X13" t="s">
        <v>217</v>
      </c>
      <c r="Z13" t="s">
        <v>191</v>
      </c>
      <c r="AB13" t="s">
        <v>218</v>
      </c>
      <c r="AC13" t="s">
        <v>219</v>
      </c>
      <c r="AF13">
        <v>46044.791666666701</v>
      </c>
      <c r="AI13" t="s">
        <v>220</v>
      </c>
      <c r="AJ13" t="s">
        <v>186</v>
      </c>
      <c r="AK13" t="s">
        <v>221</v>
      </c>
      <c r="AL13" t="s">
        <v>221</v>
      </c>
      <c r="AM13" t="s">
        <v>208</v>
      </c>
      <c r="AN13" t="s">
        <v>189</v>
      </c>
      <c r="AO13" t="s">
        <v>51</v>
      </c>
      <c r="AP13" t="s">
        <v>54</v>
      </c>
      <c r="AQ13" t="s">
        <v>53</v>
      </c>
      <c r="AR13" t="s">
        <v>190</v>
      </c>
      <c r="AS13" t="s">
        <v>174</v>
      </c>
      <c r="AT13" t="s">
        <v>191</v>
      </c>
    </row>
    <row r="14" spans="1:46" ht="105" x14ac:dyDescent="0.25">
      <c r="A14" s="5">
        <v>46058.581701388888</v>
      </c>
      <c r="B14" t="s">
        <v>222</v>
      </c>
      <c r="C14" t="s">
        <v>173</v>
      </c>
      <c r="D14" t="s">
        <v>174</v>
      </c>
      <c r="E14" t="s">
        <v>147</v>
      </c>
      <c r="H14" t="s">
        <v>175</v>
      </c>
      <c r="I14" t="s">
        <v>176</v>
      </c>
      <c r="J14" t="s">
        <v>5</v>
      </c>
      <c r="K14" t="s">
        <v>177</v>
      </c>
      <c r="L14" s="6" t="s">
        <v>223</v>
      </c>
      <c r="M14" t="s">
        <v>21</v>
      </c>
      <c r="N14" t="s">
        <v>224</v>
      </c>
      <c r="O14" t="s">
        <v>225</v>
      </c>
      <c r="P14" t="s">
        <v>226</v>
      </c>
      <c r="R14" t="s">
        <v>175</v>
      </c>
      <c r="S14" t="s">
        <v>176</v>
      </c>
      <c r="T14" t="s">
        <v>5</v>
      </c>
      <c r="U14" t="s">
        <v>177</v>
      </c>
      <c r="V14">
        <v>1</v>
      </c>
      <c r="W14" t="s">
        <v>182</v>
      </c>
      <c r="X14" t="s">
        <v>183</v>
      </c>
      <c r="Z14" t="s">
        <v>184</v>
      </c>
      <c r="AF14">
        <v>45993.791666666701</v>
      </c>
      <c r="AI14" t="s">
        <v>185</v>
      </c>
      <c r="AJ14" t="s">
        <v>186</v>
      </c>
      <c r="AK14" t="s">
        <v>187</v>
      </c>
      <c r="AL14" t="s">
        <v>187</v>
      </c>
      <c r="AM14" t="s">
        <v>188</v>
      </c>
      <c r="AN14" t="s">
        <v>189</v>
      </c>
      <c r="AO14" t="s">
        <v>6</v>
      </c>
      <c r="AP14" t="s">
        <v>9</v>
      </c>
      <c r="AQ14" t="s">
        <v>53</v>
      </c>
      <c r="AR14" t="s">
        <v>190</v>
      </c>
      <c r="AS14" t="s">
        <v>174</v>
      </c>
      <c r="AT14" t="s">
        <v>191</v>
      </c>
    </row>
    <row r="15" spans="1:46" ht="105" x14ac:dyDescent="0.25">
      <c r="A15" s="5">
        <v>46058.593240740738</v>
      </c>
      <c r="B15" t="s">
        <v>227</v>
      </c>
      <c r="C15" t="s">
        <v>173</v>
      </c>
      <c r="D15" t="s">
        <v>174</v>
      </c>
      <c r="E15" t="s">
        <v>147</v>
      </c>
      <c r="H15" t="s">
        <v>175</v>
      </c>
      <c r="I15" t="s">
        <v>176</v>
      </c>
      <c r="J15" t="s">
        <v>5</v>
      </c>
      <c r="K15" t="s">
        <v>177</v>
      </c>
      <c r="L15" s="6" t="s">
        <v>228</v>
      </c>
      <c r="M15" t="s">
        <v>7</v>
      </c>
      <c r="N15" t="s">
        <v>229</v>
      </c>
      <c r="O15" t="s">
        <v>230</v>
      </c>
      <c r="P15" t="s">
        <v>231</v>
      </c>
      <c r="R15" t="s">
        <v>175</v>
      </c>
      <c r="S15" t="s">
        <v>176</v>
      </c>
      <c r="T15" t="s">
        <v>5</v>
      </c>
      <c r="U15" t="s">
        <v>177</v>
      </c>
      <c r="V15">
        <v>1</v>
      </c>
      <c r="W15" t="s">
        <v>182</v>
      </c>
      <c r="X15" t="s">
        <v>183</v>
      </c>
      <c r="Z15" t="s">
        <v>184</v>
      </c>
      <c r="AF15">
        <v>45971.791666666701</v>
      </c>
      <c r="AI15" t="s">
        <v>185</v>
      </c>
      <c r="AJ15" t="s">
        <v>186</v>
      </c>
      <c r="AK15" t="s">
        <v>187</v>
      </c>
      <c r="AL15" t="s">
        <v>187</v>
      </c>
      <c r="AM15" t="s">
        <v>188</v>
      </c>
      <c r="AN15" t="s">
        <v>189</v>
      </c>
      <c r="AO15" t="s">
        <v>6</v>
      </c>
      <c r="AP15" t="s">
        <v>9</v>
      </c>
      <c r="AQ15" t="s">
        <v>53</v>
      </c>
      <c r="AR15" t="s">
        <v>190</v>
      </c>
      <c r="AS15" t="s">
        <v>174</v>
      </c>
      <c r="AT15" t="s">
        <v>191</v>
      </c>
    </row>
    <row r="16" spans="1:46" ht="105" x14ac:dyDescent="0.25">
      <c r="A16" s="5">
        <v>46058.59883101852</v>
      </c>
      <c r="B16" t="s">
        <v>232</v>
      </c>
      <c r="C16" t="s">
        <v>173</v>
      </c>
      <c r="D16" t="s">
        <v>174</v>
      </c>
      <c r="E16" t="s">
        <v>147</v>
      </c>
      <c r="H16" t="s">
        <v>175</v>
      </c>
      <c r="I16" t="s">
        <v>176</v>
      </c>
      <c r="J16" t="s">
        <v>5</v>
      </c>
      <c r="K16" t="s">
        <v>177</v>
      </c>
      <c r="L16" s="6" t="s">
        <v>233</v>
      </c>
      <c r="M16" t="s">
        <v>7</v>
      </c>
      <c r="N16" t="s">
        <v>234</v>
      </c>
      <c r="O16" t="s">
        <v>235</v>
      </c>
      <c r="P16" t="s">
        <v>236</v>
      </c>
      <c r="R16" t="s">
        <v>175</v>
      </c>
      <c r="S16" t="s">
        <v>176</v>
      </c>
      <c r="T16" t="s">
        <v>5</v>
      </c>
      <c r="U16" t="s">
        <v>177</v>
      </c>
      <c r="V16">
        <v>1</v>
      </c>
      <c r="W16" t="s">
        <v>182</v>
      </c>
      <c r="X16" t="s">
        <v>183</v>
      </c>
      <c r="Z16" t="s">
        <v>184</v>
      </c>
      <c r="AF16">
        <v>45974.791666666701</v>
      </c>
      <c r="AI16" t="s">
        <v>185</v>
      </c>
      <c r="AJ16" t="s">
        <v>186</v>
      </c>
      <c r="AK16" t="s">
        <v>187</v>
      </c>
      <c r="AL16" t="s">
        <v>187</v>
      </c>
      <c r="AM16" t="s">
        <v>188</v>
      </c>
      <c r="AN16" t="s">
        <v>189</v>
      </c>
      <c r="AO16" t="s">
        <v>6</v>
      </c>
      <c r="AP16" t="s">
        <v>9</v>
      </c>
      <c r="AQ16" t="s">
        <v>53</v>
      </c>
      <c r="AR16" t="s">
        <v>190</v>
      </c>
      <c r="AS16" t="s">
        <v>174</v>
      </c>
      <c r="AT16" t="s">
        <v>191</v>
      </c>
    </row>
    <row r="17" spans="1:46" ht="105" x14ac:dyDescent="0.25">
      <c r="A17" s="5">
        <v>46058.60361111111</v>
      </c>
      <c r="B17" t="s">
        <v>237</v>
      </c>
      <c r="C17" t="s">
        <v>173</v>
      </c>
      <c r="D17" t="s">
        <v>174</v>
      </c>
      <c r="E17" t="s">
        <v>147</v>
      </c>
      <c r="H17" t="s">
        <v>175</v>
      </c>
      <c r="I17" t="s">
        <v>176</v>
      </c>
      <c r="J17" t="s">
        <v>5</v>
      </c>
      <c r="K17" t="s">
        <v>177</v>
      </c>
      <c r="L17" s="6" t="s">
        <v>238</v>
      </c>
      <c r="M17" t="s">
        <v>7</v>
      </c>
      <c r="N17" t="s">
        <v>239</v>
      </c>
      <c r="O17" t="s">
        <v>240</v>
      </c>
      <c r="P17" t="s">
        <v>241</v>
      </c>
      <c r="R17" t="s">
        <v>175</v>
      </c>
      <c r="S17" t="s">
        <v>176</v>
      </c>
      <c r="T17" t="s">
        <v>5</v>
      </c>
      <c r="U17" t="s">
        <v>177</v>
      </c>
      <c r="V17">
        <v>1</v>
      </c>
      <c r="W17" t="s">
        <v>182</v>
      </c>
      <c r="X17" t="s">
        <v>183</v>
      </c>
      <c r="Z17" t="s">
        <v>184</v>
      </c>
      <c r="AF17">
        <v>45978.791666666701</v>
      </c>
      <c r="AI17" t="s">
        <v>185</v>
      </c>
      <c r="AJ17" t="s">
        <v>186</v>
      </c>
      <c r="AK17" t="s">
        <v>187</v>
      </c>
      <c r="AL17" t="s">
        <v>187</v>
      </c>
      <c r="AM17" t="s">
        <v>188</v>
      </c>
      <c r="AN17" t="s">
        <v>189</v>
      </c>
      <c r="AO17" t="s">
        <v>6</v>
      </c>
      <c r="AP17" t="s">
        <v>9</v>
      </c>
      <c r="AQ17" t="s">
        <v>53</v>
      </c>
      <c r="AR17" t="s">
        <v>190</v>
      </c>
      <c r="AS17" t="s">
        <v>174</v>
      </c>
      <c r="AT17" t="s">
        <v>191</v>
      </c>
    </row>
    <row r="18" spans="1:46" ht="105" x14ac:dyDescent="0.25">
      <c r="A18" s="5">
        <v>46058.607916666668</v>
      </c>
      <c r="B18" t="s">
        <v>242</v>
      </c>
      <c r="C18" t="s">
        <v>173</v>
      </c>
      <c r="D18" t="s">
        <v>174</v>
      </c>
      <c r="E18" t="s">
        <v>147</v>
      </c>
      <c r="H18" t="s">
        <v>175</v>
      </c>
      <c r="I18" t="s">
        <v>176</v>
      </c>
      <c r="J18" t="s">
        <v>5</v>
      </c>
      <c r="K18" t="s">
        <v>177</v>
      </c>
      <c r="L18" s="6" t="s">
        <v>243</v>
      </c>
      <c r="M18" t="s">
        <v>7</v>
      </c>
      <c r="N18" t="s">
        <v>244</v>
      </c>
      <c r="O18" t="s">
        <v>245</v>
      </c>
      <c r="P18" t="s">
        <v>246</v>
      </c>
      <c r="R18" t="s">
        <v>175</v>
      </c>
      <c r="S18" t="s">
        <v>176</v>
      </c>
      <c r="T18" t="s">
        <v>5</v>
      </c>
      <c r="U18" t="s">
        <v>177</v>
      </c>
      <c r="V18">
        <v>1</v>
      </c>
      <c r="W18" t="s">
        <v>182</v>
      </c>
      <c r="X18" t="s">
        <v>183</v>
      </c>
      <c r="Z18" t="s">
        <v>184</v>
      </c>
      <c r="AF18">
        <v>45978.791666666701</v>
      </c>
      <c r="AI18" t="s">
        <v>185</v>
      </c>
      <c r="AJ18" t="s">
        <v>186</v>
      </c>
      <c r="AK18" t="s">
        <v>187</v>
      </c>
      <c r="AL18" t="s">
        <v>187</v>
      </c>
      <c r="AM18" t="s">
        <v>188</v>
      </c>
      <c r="AN18" t="s">
        <v>189</v>
      </c>
      <c r="AO18" t="s">
        <v>6</v>
      </c>
      <c r="AP18" t="s">
        <v>9</v>
      </c>
      <c r="AQ18" t="s">
        <v>53</v>
      </c>
      <c r="AR18" t="s">
        <v>190</v>
      </c>
      <c r="AS18" t="s">
        <v>174</v>
      </c>
      <c r="AT18" t="s">
        <v>191</v>
      </c>
    </row>
    <row r="19" spans="1:46" ht="105" x14ac:dyDescent="0.25">
      <c r="A19" s="5">
        <v>46058.61209490741</v>
      </c>
      <c r="B19" t="s">
        <v>247</v>
      </c>
      <c r="C19" t="s">
        <v>173</v>
      </c>
      <c r="D19" t="s">
        <v>174</v>
      </c>
      <c r="E19" t="s">
        <v>147</v>
      </c>
      <c r="H19" t="s">
        <v>175</v>
      </c>
      <c r="I19" t="s">
        <v>176</v>
      </c>
      <c r="J19" t="s">
        <v>5</v>
      </c>
      <c r="K19" t="s">
        <v>177</v>
      </c>
      <c r="L19" s="6" t="s">
        <v>248</v>
      </c>
      <c r="M19" t="s">
        <v>7</v>
      </c>
      <c r="N19" t="s">
        <v>249</v>
      </c>
      <c r="O19" t="s">
        <v>250</v>
      </c>
      <c r="P19" t="s">
        <v>251</v>
      </c>
      <c r="R19" t="s">
        <v>175</v>
      </c>
      <c r="S19" t="s">
        <v>176</v>
      </c>
      <c r="T19" t="s">
        <v>5</v>
      </c>
      <c r="U19" t="s">
        <v>177</v>
      </c>
      <c r="V19">
        <v>1</v>
      </c>
      <c r="W19" t="s">
        <v>182</v>
      </c>
      <c r="X19" t="s">
        <v>183</v>
      </c>
      <c r="Z19" t="s">
        <v>184</v>
      </c>
      <c r="AF19">
        <v>45979.791666666701</v>
      </c>
      <c r="AI19" t="s">
        <v>185</v>
      </c>
      <c r="AJ19" t="s">
        <v>186</v>
      </c>
      <c r="AK19" t="s">
        <v>187</v>
      </c>
      <c r="AL19" t="s">
        <v>187</v>
      </c>
      <c r="AM19" t="s">
        <v>188</v>
      </c>
      <c r="AN19" t="s">
        <v>189</v>
      </c>
      <c r="AO19" t="s">
        <v>6</v>
      </c>
      <c r="AP19" t="s">
        <v>9</v>
      </c>
      <c r="AQ19" t="s">
        <v>53</v>
      </c>
      <c r="AR19" t="s">
        <v>190</v>
      </c>
      <c r="AS19" t="s">
        <v>174</v>
      </c>
      <c r="AT19" t="s">
        <v>191</v>
      </c>
    </row>
    <row r="20" spans="1:46" ht="105" x14ac:dyDescent="0.25">
      <c r="A20" s="5">
        <v>46058.616990740738</v>
      </c>
      <c r="B20" t="s">
        <v>252</v>
      </c>
      <c r="C20" t="s">
        <v>173</v>
      </c>
      <c r="D20" t="s">
        <v>174</v>
      </c>
      <c r="E20" t="s">
        <v>147</v>
      </c>
      <c r="H20" t="s">
        <v>175</v>
      </c>
      <c r="I20" t="s">
        <v>176</v>
      </c>
      <c r="J20" t="s">
        <v>5</v>
      </c>
      <c r="K20" t="s">
        <v>177</v>
      </c>
      <c r="L20" s="6" t="s">
        <v>253</v>
      </c>
      <c r="M20" t="s">
        <v>7</v>
      </c>
      <c r="N20" t="s">
        <v>254</v>
      </c>
      <c r="O20" t="s">
        <v>255</v>
      </c>
      <c r="P20" t="s">
        <v>256</v>
      </c>
      <c r="R20" t="s">
        <v>175</v>
      </c>
      <c r="S20" t="s">
        <v>176</v>
      </c>
      <c r="T20" t="s">
        <v>5</v>
      </c>
      <c r="U20" t="s">
        <v>177</v>
      </c>
      <c r="V20">
        <v>1</v>
      </c>
      <c r="W20" t="s">
        <v>182</v>
      </c>
      <c r="X20" t="s">
        <v>183</v>
      </c>
      <c r="Z20" t="s">
        <v>184</v>
      </c>
      <c r="AF20">
        <v>45979.791666666701</v>
      </c>
      <c r="AI20" t="s">
        <v>185</v>
      </c>
      <c r="AJ20" t="s">
        <v>186</v>
      </c>
      <c r="AK20" t="s">
        <v>187</v>
      </c>
      <c r="AL20" t="s">
        <v>187</v>
      </c>
      <c r="AM20" t="s">
        <v>188</v>
      </c>
      <c r="AN20" t="s">
        <v>189</v>
      </c>
      <c r="AO20" t="s">
        <v>6</v>
      </c>
      <c r="AP20" t="s">
        <v>9</v>
      </c>
      <c r="AQ20" t="s">
        <v>53</v>
      </c>
      <c r="AR20" t="s">
        <v>190</v>
      </c>
      <c r="AS20" t="s">
        <v>174</v>
      </c>
      <c r="AT20" t="s">
        <v>191</v>
      </c>
    </row>
    <row r="21" spans="1:46" ht="105" x14ac:dyDescent="0.25">
      <c r="A21" s="5">
        <v>46058.621840277781</v>
      </c>
      <c r="B21" t="s">
        <v>257</v>
      </c>
      <c r="C21" t="s">
        <v>173</v>
      </c>
      <c r="D21" t="s">
        <v>174</v>
      </c>
      <c r="E21" t="s">
        <v>147</v>
      </c>
      <c r="H21" t="s">
        <v>175</v>
      </c>
      <c r="I21" t="s">
        <v>176</v>
      </c>
      <c r="J21" t="s">
        <v>5</v>
      </c>
      <c r="K21" t="s">
        <v>177</v>
      </c>
      <c r="L21" s="6" t="s">
        <v>258</v>
      </c>
      <c r="M21" t="s">
        <v>7</v>
      </c>
      <c r="N21" t="s">
        <v>259</v>
      </c>
      <c r="O21" t="s">
        <v>260</v>
      </c>
      <c r="P21" t="s">
        <v>261</v>
      </c>
      <c r="R21" t="s">
        <v>175</v>
      </c>
      <c r="S21" t="s">
        <v>176</v>
      </c>
      <c r="T21" t="s">
        <v>5</v>
      </c>
      <c r="U21" t="s">
        <v>177</v>
      </c>
      <c r="V21">
        <v>1</v>
      </c>
      <c r="W21" t="s">
        <v>182</v>
      </c>
      <c r="X21" t="s">
        <v>183</v>
      </c>
      <c r="Z21" t="s">
        <v>184</v>
      </c>
      <c r="AF21">
        <v>45979.791666666701</v>
      </c>
      <c r="AI21" t="s">
        <v>185</v>
      </c>
      <c r="AJ21" t="s">
        <v>186</v>
      </c>
      <c r="AK21" t="s">
        <v>187</v>
      </c>
      <c r="AL21" t="s">
        <v>187</v>
      </c>
      <c r="AM21" t="s">
        <v>188</v>
      </c>
      <c r="AN21" t="s">
        <v>189</v>
      </c>
      <c r="AO21" t="s">
        <v>6</v>
      </c>
      <c r="AP21" t="s">
        <v>9</v>
      </c>
      <c r="AQ21" t="s">
        <v>53</v>
      </c>
      <c r="AR21" t="s">
        <v>190</v>
      </c>
      <c r="AS21" t="s">
        <v>174</v>
      </c>
      <c r="AT21" t="s">
        <v>191</v>
      </c>
    </row>
    <row r="22" spans="1:46" ht="105" x14ac:dyDescent="0.25">
      <c r="A22" s="5">
        <v>46058.625706018516</v>
      </c>
      <c r="B22" t="s">
        <v>262</v>
      </c>
      <c r="C22" t="s">
        <v>173</v>
      </c>
      <c r="D22" t="s">
        <v>174</v>
      </c>
      <c r="E22" t="s">
        <v>147</v>
      </c>
      <c r="H22" t="s">
        <v>175</v>
      </c>
      <c r="I22" t="s">
        <v>176</v>
      </c>
      <c r="J22" t="s">
        <v>5</v>
      </c>
      <c r="K22" t="s">
        <v>177</v>
      </c>
      <c r="L22" s="6" t="s">
        <v>263</v>
      </c>
      <c r="M22" t="s">
        <v>7</v>
      </c>
      <c r="N22" t="s">
        <v>264</v>
      </c>
      <c r="O22" t="s">
        <v>265</v>
      </c>
      <c r="P22" t="s">
        <v>266</v>
      </c>
      <c r="R22" t="s">
        <v>175</v>
      </c>
      <c r="S22" t="s">
        <v>176</v>
      </c>
      <c r="T22" t="s">
        <v>5</v>
      </c>
      <c r="U22" t="s">
        <v>177</v>
      </c>
      <c r="V22">
        <v>1</v>
      </c>
      <c r="W22" t="s">
        <v>182</v>
      </c>
      <c r="X22" t="s">
        <v>183</v>
      </c>
      <c r="Z22" t="s">
        <v>184</v>
      </c>
      <c r="AF22">
        <v>45980.791666666701</v>
      </c>
      <c r="AI22" t="s">
        <v>185</v>
      </c>
      <c r="AJ22" t="s">
        <v>186</v>
      </c>
      <c r="AK22" t="s">
        <v>187</v>
      </c>
      <c r="AL22" t="s">
        <v>187</v>
      </c>
      <c r="AM22" t="s">
        <v>188</v>
      </c>
      <c r="AN22" t="s">
        <v>189</v>
      </c>
      <c r="AO22" t="s">
        <v>6</v>
      </c>
      <c r="AP22" t="s">
        <v>9</v>
      </c>
      <c r="AQ22" t="s">
        <v>53</v>
      </c>
      <c r="AR22" t="s">
        <v>190</v>
      </c>
      <c r="AS22" t="s">
        <v>174</v>
      </c>
      <c r="AT22" t="s">
        <v>191</v>
      </c>
    </row>
    <row r="23" spans="1:46" ht="105" x14ac:dyDescent="0.25">
      <c r="A23" s="5">
        <v>46058.631365740737</v>
      </c>
      <c r="B23" t="s">
        <v>267</v>
      </c>
      <c r="C23" t="s">
        <v>173</v>
      </c>
      <c r="D23" t="s">
        <v>174</v>
      </c>
      <c r="E23" t="s">
        <v>147</v>
      </c>
      <c r="H23" t="s">
        <v>175</v>
      </c>
      <c r="I23" t="s">
        <v>176</v>
      </c>
      <c r="J23" t="s">
        <v>5</v>
      </c>
      <c r="K23" t="s">
        <v>177</v>
      </c>
      <c r="L23" s="6" t="s">
        <v>268</v>
      </c>
      <c r="M23" t="s">
        <v>7</v>
      </c>
      <c r="N23" t="s">
        <v>269</v>
      </c>
      <c r="O23" t="s">
        <v>270</v>
      </c>
      <c r="P23" t="s">
        <v>271</v>
      </c>
      <c r="R23" t="s">
        <v>175</v>
      </c>
      <c r="S23" t="s">
        <v>176</v>
      </c>
      <c r="T23" t="s">
        <v>5</v>
      </c>
      <c r="U23" t="s">
        <v>177</v>
      </c>
      <c r="V23">
        <v>1</v>
      </c>
      <c r="W23" t="s">
        <v>182</v>
      </c>
      <c r="X23" t="s">
        <v>183</v>
      </c>
      <c r="Z23" t="s">
        <v>184</v>
      </c>
      <c r="AF23">
        <v>45984.791666666701</v>
      </c>
      <c r="AI23" t="s">
        <v>185</v>
      </c>
      <c r="AJ23" t="s">
        <v>186</v>
      </c>
      <c r="AK23" t="s">
        <v>187</v>
      </c>
      <c r="AL23" t="s">
        <v>187</v>
      </c>
      <c r="AM23" t="s">
        <v>188</v>
      </c>
      <c r="AN23" t="s">
        <v>189</v>
      </c>
      <c r="AO23" t="s">
        <v>6</v>
      </c>
      <c r="AP23" t="s">
        <v>9</v>
      </c>
      <c r="AQ23" t="s">
        <v>53</v>
      </c>
      <c r="AR23" t="s">
        <v>190</v>
      </c>
      <c r="AS23" t="s">
        <v>174</v>
      </c>
      <c r="AT23" t="s">
        <v>191</v>
      </c>
    </row>
    <row r="24" spans="1:46" ht="75" x14ac:dyDescent="0.25">
      <c r="A24" s="5">
        <v>46072.740879629629</v>
      </c>
      <c r="B24" t="s">
        <v>272</v>
      </c>
      <c r="C24" t="s">
        <v>173</v>
      </c>
      <c r="D24" t="s">
        <v>198</v>
      </c>
      <c r="E24" t="s">
        <v>199</v>
      </c>
      <c r="H24" t="s">
        <v>175</v>
      </c>
      <c r="I24" t="s">
        <v>176</v>
      </c>
      <c r="J24" t="s">
        <v>5</v>
      </c>
      <c r="K24" t="s">
        <v>200</v>
      </c>
      <c r="L24" s="6" t="s">
        <v>273</v>
      </c>
      <c r="M24" t="s">
        <v>34</v>
      </c>
      <c r="N24" t="s">
        <v>274</v>
      </c>
      <c r="O24" t="s">
        <v>275</v>
      </c>
      <c r="P24" t="s">
        <v>276</v>
      </c>
      <c r="R24" t="s">
        <v>175</v>
      </c>
      <c r="S24" t="s">
        <v>176</v>
      </c>
      <c r="T24" t="s">
        <v>5</v>
      </c>
      <c r="U24" t="s">
        <v>200</v>
      </c>
      <c r="V24">
        <v>1</v>
      </c>
      <c r="W24" t="s">
        <v>205</v>
      </c>
      <c r="X24" t="s">
        <v>277</v>
      </c>
      <c r="Z24" t="s">
        <v>138</v>
      </c>
      <c r="AF24">
        <v>45939.833333333299</v>
      </c>
      <c r="AI24" t="s">
        <v>185</v>
      </c>
      <c r="AJ24" t="s">
        <v>186</v>
      </c>
      <c r="AK24" t="s">
        <v>278</v>
      </c>
      <c r="AL24" t="s">
        <v>278</v>
      </c>
      <c r="AM24" t="s">
        <v>188</v>
      </c>
      <c r="AN24" t="s">
        <v>189</v>
      </c>
      <c r="AO24" t="s">
        <v>15</v>
      </c>
      <c r="AP24" t="s">
        <v>19</v>
      </c>
      <c r="AQ24" t="s">
        <v>53</v>
      </c>
      <c r="AR24" t="s">
        <v>190</v>
      </c>
      <c r="AS24" t="s">
        <v>198</v>
      </c>
      <c r="AT24" t="s">
        <v>138</v>
      </c>
    </row>
    <row r="25" spans="1:46" ht="75" x14ac:dyDescent="0.25">
      <c r="A25" s="5">
        <v>46072.727719907409</v>
      </c>
      <c r="B25" t="s">
        <v>279</v>
      </c>
      <c r="C25" t="s">
        <v>173</v>
      </c>
      <c r="D25" t="s">
        <v>198</v>
      </c>
      <c r="E25" t="s">
        <v>199</v>
      </c>
      <c r="H25" t="s">
        <v>175</v>
      </c>
      <c r="I25" t="s">
        <v>176</v>
      </c>
      <c r="J25" t="s">
        <v>5</v>
      </c>
      <c r="K25" t="s">
        <v>200</v>
      </c>
      <c r="L25" s="6" t="s">
        <v>280</v>
      </c>
      <c r="M25" t="s">
        <v>34</v>
      </c>
      <c r="N25" t="s">
        <v>281</v>
      </c>
      <c r="O25" t="s">
        <v>282</v>
      </c>
      <c r="P25" t="s">
        <v>283</v>
      </c>
      <c r="R25" t="s">
        <v>175</v>
      </c>
      <c r="S25" t="s">
        <v>176</v>
      </c>
      <c r="T25" t="s">
        <v>5</v>
      </c>
      <c r="U25" t="s">
        <v>200</v>
      </c>
      <c r="V25">
        <v>1</v>
      </c>
      <c r="W25" t="s">
        <v>205</v>
      </c>
      <c r="X25" t="s">
        <v>206</v>
      </c>
      <c r="Z25" t="s">
        <v>138</v>
      </c>
      <c r="AF25">
        <v>45973.791666666701</v>
      </c>
      <c r="AI25" t="s">
        <v>185</v>
      </c>
      <c r="AJ25" t="s">
        <v>186</v>
      </c>
      <c r="AK25" t="s">
        <v>278</v>
      </c>
      <c r="AL25" t="s">
        <v>278</v>
      </c>
      <c r="AM25" t="s">
        <v>208</v>
      </c>
      <c r="AN25" t="s">
        <v>189</v>
      </c>
      <c r="AO25" t="s">
        <v>15</v>
      </c>
      <c r="AP25" t="s">
        <v>23</v>
      </c>
      <c r="AQ25" t="s">
        <v>53</v>
      </c>
      <c r="AR25" t="s">
        <v>190</v>
      </c>
      <c r="AS25" t="s">
        <v>198</v>
      </c>
      <c r="AT25" t="s">
        <v>138</v>
      </c>
    </row>
    <row r="26" spans="1:46" ht="105" x14ac:dyDescent="0.25">
      <c r="A26" s="5">
        <v>46058.635439814818</v>
      </c>
      <c r="B26" t="s">
        <v>284</v>
      </c>
      <c r="C26" t="s">
        <v>173</v>
      </c>
      <c r="D26" t="s">
        <v>174</v>
      </c>
      <c r="E26" t="s">
        <v>147</v>
      </c>
      <c r="H26" t="s">
        <v>175</v>
      </c>
      <c r="I26" t="s">
        <v>176</v>
      </c>
      <c r="J26" t="s">
        <v>5</v>
      </c>
      <c r="K26" t="s">
        <v>177</v>
      </c>
      <c r="L26" s="6" t="s">
        <v>285</v>
      </c>
      <c r="M26" t="s">
        <v>7</v>
      </c>
      <c r="N26" t="s">
        <v>286</v>
      </c>
      <c r="O26" t="s">
        <v>287</v>
      </c>
      <c r="P26" t="s">
        <v>288</v>
      </c>
      <c r="R26" t="s">
        <v>175</v>
      </c>
      <c r="S26" t="s">
        <v>176</v>
      </c>
      <c r="T26" t="s">
        <v>5</v>
      </c>
      <c r="U26" t="s">
        <v>177</v>
      </c>
      <c r="V26">
        <v>1</v>
      </c>
      <c r="W26" t="s">
        <v>182</v>
      </c>
      <c r="X26" t="s">
        <v>183</v>
      </c>
      <c r="Z26" t="s">
        <v>184</v>
      </c>
      <c r="AF26">
        <v>45978.791666666701</v>
      </c>
      <c r="AI26" t="s">
        <v>185</v>
      </c>
      <c r="AJ26" t="s">
        <v>186</v>
      </c>
      <c r="AK26" t="s">
        <v>187</v>
      </c>
      <c r="AL26" t="s">
        <v>187</v>
      </c>
      <c r="AM26" t="s">
        <v>188</v>
      </c>
      <c r="AN26" t="s">
        <v>189</v>
      </c>
      <c r="AO26" t="s">
        <v>6</v>
      </c>
      <c r="AP26" t="s">
        <v>9</v>
      </c>
      <c r="AQ26" t="s">
        <v>53</v>
      </c>
      <c r="AR26" t="s">
        <v>190</v>
      </c>
      <c r="AS26" t="s">
        <v>174</v>
      </c>
      <c r="AT26" t="s">
        <v>191</v>
      </c>
    </row>
    <row r="27" spans="1:46" ht="105" x14ac:dyDescent="0.25">
      <c r="A27" s="5">
        <v>46058.640231481484</v>
      </c>
      <c r="B27" t="s">
        <v>289</v>
      </c>
      <c r="C27" t="s">
        <v>173</v>
      </c>
      <c r="D27" t="s">
        <v>174</v>
      </c>
      <c r="E27" t="s">
        <v>147</v>
      </c>
      <c r="H27" t="s">
        <v>175</v>
      </c>
      <c r="I27" t="s">
        <v>176</v>
      </c>
      <c r="J27" t="s">
        <v>5</v>
      </c>
      <c r="K27" t="s">
        <v>177</v>
      </c>
      <c r="L27" s="6" t="s">
        <v>290</v>
      </c>
      <c r="M27" t="s">
        <v>7</v>
      </c>
      <c r="N27" t="s">
        <v>291</v>
      </c>
      <c r="O27" t="s">
        <v>292</v>
      </c>
      <c r="P27" t="s">
        <v>293</v>
      </c>
      <c r="R27" t="s">
        <v>175</v>
      </c>
      <c r="S27" t="s">
        <v>176</v>
      </c>
      <c r="T27" t="s">
        <v>5</v>
      </c>
      <c r="U27" t="s">
        <v>177</v>
      </c>
      <c r="V27">
        <v>1</v>
      </c>
      <c r="W27" t="s">
        <v>182</v>
      </c>
      <c r="X27" t="s">
        <v>183</v>
      </c>
      <c r="Z27" t="s">
        <v>184</v>
      </c>
      <c r="AF27">
        <v>45979.791666666701</v>
      </c>
      <c r="AI27" t="s">
        <v>185</v>
      </c>
      <c r="AJ27" t="s">
        <v>186</v>
      </c>
      <c r="AK27" t="s">
        <v>187</v>
      </c>
      <c r="AL27" t="s">
        <v>187</v>
      </c>
      <c r="AM27" t="s">
        <v>188</v>
      </c>
      <c r="AN27" t="s">
        <v>189</v>
      </c>
      <c r="AO27" t="s">
        <v>6</v>
      </c>
      <c r="AP27" t="s">
        <v>9</v>
      </c>
      <c r="AQ27" t="s">
        <v>53</v>
      </c>
      <c r="AR27" t="s">
        <v>190</v>
      </c>
      <c r="AS27" t="s">
        <v>174</v>
      </c>
      <c r="AT27" t="s">
        <v>191</v>
      </c>
    </row>
    <row r="28" spans="1:46" ht="105" x14ac:dyDescent="0.25">
      <c r="A28" s="5">
        <v>46073.460104166668</v>
      </c>
      <c r="B28" t="s">
        <v>294</v>
      </c>
      <c r="C28" t="s">
        <v>173</v>
      </c>
      <c r="D28" t="s">
        <v>174</v>
      </c>
      <c r="E28" t="s">
        <v>147</v>
      </c>
      <c r="H28" t="s">
        <v>175</v>
      </c>
      <c r="I28" t="s">
        <v>176</v>
      </c>
      <c r="J28" t="s">
        <v>5</v>
      </c>
      <c r="K28" t="s">
        <v>177</v>
      </c>
      <c r="L28" s="6" t="s">
        <v>295</v>
      </c>
      <c r="M28" t="s">
        <v>7</v>
      </c>
      <c r="N28" t="s">
        <v>296</v>
      </c>
      <c r="O28" t="s">
        <v>297</v>
      </c>
      <c r="P28" t="s">
        <v>298</v>
      </c>
      <c r="R28" t="s">
        <v>175</v>
      </c>
      <c r="S28" t="s">
        <v>176</v>
      </c>
      <c r="T28" t="s">
        <v>5</v>
      </c>
      <c r="U28" t="s">
        <v>177</v>
      </c>
      <c r="V28">
        <v>1</v>
      </c>
      <c r="W28" t="s">
        <v>182</v>
      </c>
      <c r="X28" t="s">
        <v>183</v>
      </c>
      <c r="Z28" t="s">
        <v>184</v>
      </c>
      <c r="AF28">
        <v>46011.791666666701</v>
      </c>
      <c r="AI28" t="s">
        <v>185</v>
      </c>
      <c r="AJ28" t="s">
        <v>186</v>
      </c>
      <c r="AK28" t="s">
        <v>187</v>
      </c>
      <c r="AL28" t="s">
        <v>187</v>
      </c>
      <c r="AM28" t="s">
        <v>188</v>
      </c>
      <c r="AN28" t="s">
        <v>189</v>
      </c>
      <c r="AO28" t="s">
        <v>6</v>
      </c>
      <c r="AP28" t="s">
        <v>9</v>
      </c>
      <c r="AQ28" t="s">
        <v>53</v>
      </c>
      <c r="AR28" t="s">
        <v>190</v>
      </c>
      <c r="AS28" t="s">
        <v>174</v>
      </c>
      <c r="AT28" t="s">
        <v>191</v>
      </c>
    </row>
    <row r="29" spans="1:46" ht="105" x14ac:dyDescent="0.25">
      <c r="A29" s="5">
        <v>46073.454224537039</v>
      </c>
      <c r="B29" t="s">
        <v>299</v>
      </c>
      <c r="C29" t="s">
        <v>173</v>
      </c>
      <c r="D29" t="s">
        <v>174</v>
      </c>
      <c r="E29" t="s">
        <v>147</v>
      </c>
      <c r="H29" t="s">
        <v>175</v>
      </c>
      <c r="I29" t="s">
        <v>176</v>
      </c>
      <c r="J29" t="s">
        <v>5</v>
      </c>
      <c r="K29" t="s">
        <v>177</v>
      </c>
      <c r="L29" s="6" t="s">
        <v>300</v>
      </c>
      <c r="M29" t="s">
        <v>7</v>
      </c>
      <c r="N29" t="s">
        <v>301</v>
      </c>
      <c r="O29" t="s">
        <v>302</v>
      </c>
      <c r="P29" t="s">
        <v>303</v>
      </c>
      <c r="R29" t="s">
        <v>175</v>
      </c>
      <c r="S29" t="s">
        <v>176</v>
      </c>
      <c r="T29" t="s">
        <v>5</v>
      </c>
      <c r="U29" t="s">
        <v>177</v>
      </c>
      <c r="V29">
        <v>1</v>
      </c>
      <c r="W29" t="s">
        <v>182</v>
      </c>
      <c r="X29" t="s">
        <v>183</v>
      </c>
      <c r="Z29" t="s">
        <v>184</v>
      </c>
      <c r="AF29">
        <v>45992.791666666701</v>
      </c>
      <c r="AI29" t="s">
        <v>185</v>
      </c>
      <c r="AJ29" t="s">
        <v>186</v>
      </c>
      <c r="AK29" t="s">
        <v>187</v>
      </c>
      <c r="AL29" t="s">
        <v>187</v>
      </c>
      <c r="AM29" t="s">
        <v>188</v>
      </c>
      <c r="AN29" t="s">
        <v>189</v>
      </c>
      <c r="AO29" t="s">
        <v>6</v>
      </c>
      <c r="AP29" t="s">
        <v>9</v>
      </c>
      <c r="AQ29" t="s">
        <v>53</v>
      </c>
      <c r="AR29" t="s">
        <v>190</v>
      </c>
      <c r="AS29" t="s">
        <v>174</v>
      </c>
      <c r="AT29" t="s">
        <v>191</v>
      </c>
    </row>
    <row r="30" spans="1:46" ht="105" x14ac:dyDescent="0.25">
      <c r="A30" s="5">
        <v>46073.449282407404</v>
      </c>
      <c r="B30" t="s">
        <v>304</v>
      </c>
      <c r="C30" t="s">
        <v>173</v>
      </c>
      <c r="D30" t="s">
        <v>174</v>
      </c>
      <c r="E30" t="s">
        <v>147</v>
      </c>
      <c r="H30" t="s">
        <v>175</v>
      </c>
      <c r="I30" t="s">
        <v>176</v>
      </c>
      <c r="J30" t="s">
        <v>5</v>
      </c>
      <c r="K30" t="s">
        <v>177</v>
      </c>
      <c r="L30" s="6" t="s">
        <v>305</v>
      </c>
      <c r="M30" t="s">
        <v>7</v>
      </c>
      <c r="N30" t="s">
        <v>306</v>
      </c>
      <c r="O30" t="s">
        <v>307</v>
      </c>
      <c r="P30" t="s">
        <v>308</v>
      </c>
      <c r="R30" t="s">
        <v>175</v>
      </c>
      <c r="S30" t="s">
        <v>176</v>
      </c>
      <c r="T30" t="s">
        <v>5</v>
      </c>
      <c r="U30" t="s">
        <v>177</v>
      </c>
      <c r="V30">
        <v>1</v>
      </c>
      <c r="W30" t="s">
        <v>182</v>
      </c>
      <c r="X30" t="s">
        <v>183</v>
      </c>
      <c r="Z30" t="s">
        <v>184</v>
      </c>
      <c r="AF30">
        <v>45991.791666666701</v>
      </c>
      <c r="AI30" t="s">
        <v>185</v>
      </c>
      <c r="AJ30" t="s">
        <v>186</v>
      </c>
      <c r="AK30" t="s">
        <v>187</v>
      </c>
      <c r="AL30" t="s">
        <v>187</v>
      </c>
      <c r="AM30" t="s">
        <v>188</v>
      </c>
      <c r="AN30" t="s">
        <v>189</v>
      </c>
      <c r="AO30" t="s">
        <v>6</v>
      </c>
      <c r="AP30" t="s">
        <v>9</v>
      </c>
      <c r="AQ30" t="s">
        <v>53</v>
      </c>
      <c r="AR30" t="s">
        <v>190</v>
      </c>
      <c r="AS30" t="s">
        <v>174</v>
      </c>
      <c r="AT30" t="s">
        <v>191</v>
      </c>
    </row>
    <row r="31" spans="1:46" ht="105" x14ac:dyDescent="0.25">
      <c r="A31" s="5">
        <v>46073.444803240738</v>
      </c>
      <c r="B31" t="s">
        <v>309</v>
      </c>
      <c r="C31" t="s">
        <v>173</v>
      </c>
      <c r="D31" t="s">
        <v>174</v>
      </c>
      <c r="E31" t="s">
        <v>147</v>
      </c>
      <c r="H31" t="s">
        <v>175</v>
      </c>
      <c r="I31" t="s">
        <v>176</v>
      </c>
      <c r="J31" t="s">
        <v>5</v>
      </c>
      <c r="K31" t="s">
        <v>177</v>
      </c>
      <c r="L31" s="6" t="s">
        <v>310</v>
      </c>
      <c r="M31" t="s">
        <v>7</v>
      </c>
      <c r="N31" t="s">
        <v>311</v>
      </c>
      <c r="O31" t="s">
        <v>312</v>
      </c>
      <c r="P31" t="s">
        <v>313</v>
      </c>
      <c r="R31" t="s">
        <v>175</v>
      </c>
      <c r="S31" t="s">
        <v>176</v>
      </c>
      <c r="T31" t="s">
        <v>5</v>
      </c>
      <c r="U31" t="s">
        <v>177</v>
      </c>
      <c r="V31">
        <v>1</v>
      </c>
      <c r="W31" t="s">
        <v>182</v>
      </c>
      <c r="X31" t="s">
        <v>183</v>
      </c>
      <c r="Z31" t="s">
        <v>184</v>
      </c>
      <c r="AF31">
        <v>45993.791666666701</v>
      </c>
      <c r="AI31" t="s">
        <v>185</v>
      </c>
      <c r="AJ31" t="s">
        <v>186</v>
      </c>
      <c r="AK31" t="s">
        <v>187</v>
      </c>
      <c r="AL31" t="s">
        <v>187</v>
      </c>
      <c r="AM31" t="s">
        <v>188</v>
      </c>
      <c r="AN31" t="s">
        <v>189</v>
      </c>
      <c r="AO31" t="s">
        <v>6</v>
      </c>
      <c r="AP31" t="s">
        <v>9</v>
      </c>
      <c r="AQ31" t="s">
        <v>53</v>
      </c>
      <c r="AR31" t="s">
        <v>190</v>
      </c>
      <c r="AS31" t="s">
        <v>174</v>
      </c>
      <c r="AT31" t="s">
        <v>191</v>
      </c>
    </row>
    <row r="32" spans="1:46" ht="105" x14ac:dyDescent="0.25">
      <c r="A32" s="5">
        <v>46073.439942129633</v>
      </c>
      <c r="B32" t="s">
        <v>314</v>
      </c>
      <c r="C32" t="s">
        <v>173</v>
      </c>
      <c r="D32" t="s">
        <v>174</v>
      </c>
      <c r="E32" t="s">
        <v>147</v>
      </c>
      <c r="H32" t="s">
        <v>175</v>
      </c>
      <c r="I32" t="s">
        <v>176</v>
      </c>
      <c r="J32" t="s">
        <v>5</v>
      </c>
      <c r="K32" t="s">
        <v>177</v>
      </c>
      <c r="L32" s="6" t="s">
        <v>315</v>
      </c>
      <c r="M32" t="s">
        <v>7</v>
      </c>
      <c r="N32" t="s">
        <v>316</v>
      </c>
      <c r="O32" t="s">
        <v>317</v>
      </c>
      <c r="P32" t="s">
        <v>318</v>
      </c>
      <c r="R32" t="s">
        <v>175</v>
      </c>
      <c r="S32" t="s">
        <v>176</v>
      </c>
      <c r="T32" t="s">
        <v>5</v>
      </c>
      <c r="U32" t="s">
        <v>177</v>
      </c>
      <c r="V32">
        <v>1</v>
      </c>
      <c r="W32" t="s">
        <v>182</v>
      </c>
      <c r="X32" t="s">
        <v>183</v>
      </c>
      <c r="Z32" t="s">
        <v>184</v>
      </c>
      <c r="AF32">
        <v>45993.791666666701</v>
      </c>
      <c r="AI32" t="s">
        <v>185</v>
      </c>
      <c r="AJ32" t="s">
        <v>186</v>
      </c>
      <c r="AK32" t="s">
        <v>187</v>
      </c>
      <c r="AL32" t="s">
        <v>187</v>
      </c>
      <c r="AM32" t="s">
        <v>188</v>
      </c>
      <c r="AN32" t="s">
        <v>189</v>
      </c>
      <c r="AO32" t="s">
        <v>6</v>
      </c>
      <c r="AP32" t="s">
        <v>9</v>
      </c>
      <c r="AQ32" t="s">
        <v>53</v>
      </c>
      <c r="AR32" t="s">
        <v>190</v>
      </c>
      <c r="AS32" t="s">
        <v>174</v>
      </c>
      <c r="AT32" t="s">
        <v>191</v>
      </c>
    </row>
    <row r="33" spans="1:46" ht="105" x14ac:dyDescent="0.25">
      <c r="A33" s="5">
        <v>46073.43309027778</v>
      </c>
      <c r="B33" t="s">
        <v>319</v>
      </c>
      <c r="C33" t="s">
        <v>173</v>
      </c>
      <c r="D33" t="s">
        <v>174</v>
      </c>
      <c r="E33" t="s">
        <v>147</v>
      </c>
      <c r="H33" t="s">
        <v>175</v>
      </c>
      <c r="I33" t="s">
        <v>176</v>
      </c>
      <c r="J33" t="s">
        <v>5</v>
      </c>
      <c r="K33" t="s">
        <v>177</v>
      </c>
      <c r="L33" s="6" t="s">
        <v>320</v>
      </c>
      <c r="M33" t="s">
        <v>7</v>
      </c>
      <c r="N33" t="s">
        <v>321</v>
      </c>
      <c r="O33" t="s">
        <v>322</v>
      </c>
      <c r="P33" t="s">
        <v>323</v>
      </c>
      <c r="R33" t="s">
        <v>175</v>
      </c>
      <c r="S33" t="s">
        <v>176</v>
      </c>
      <c r="T33" t="s">
        <v>5</v>
      </c>
      <c r="U33" t="s">
        <v>177</v>
      </c>
      <c r="V33">
        <v>1</v>
      </c>
      <c r="W33" t="s">
        <v>182</v>
      </c>
      <c r="X33" t="s">
        <v>183</v>
      </c>
      <c r="Z33" t="s">
        <v>184</v>
      </c>
      <c r="AF33">
        <v>45993.791666666701</v>
      </c>
      <c r="AI33" t="s">
        <v>185</v>
      </c>
      <c r="AJ33" t="s">
        <v>186</v>
      </c>
      <c r="AK33" t="s">
        <v>187</v>
      </c>
      <c r="AL33" t="s">
        <v>187</v>
      </c>
      <c r="AM33" t="s">
        <v>188</v>
      </c>
      <c r="AN33" t="s">
        <v>189</v>
      </c>
      <c r="AO33" t="s">
        <v>6</v>
      </c>
      <c r="AP33" t="s">
        <v>9</v>
      </c>
      <c r="AQ33" t="s">
        <v>53</v>
      </c>
      <c r="AR33" t="s">
        <v>190</v>
      </c>
      <c r="AS33" t="s">
        <v>174</v>
      </c>
      <c r="AT33" t="s">
        <v>191</v>
      </c>
    </row>
    <row r="34" spans="1:46" ht="210" x14ac:dyDescent="0.25">
      <c r="A34" s="5">
        <v>46069.704027777778</v>
      </c>
      <c r="B34" t="s">
        <v>324</v>
      </c>
      <c r="C34" t="s">
        <v>173</v>
      </c>
      <c r="D34" t="s">
        <v>174</v>
      </c>
      <c r="E34" t="s">
        <v>325</v>
      </c>
      <c r="H34" t="s">
        <v>175</v>
      </c>
      <c r="I34" t="s">
        <v>176</v>
      </c>
      <c r="J34" t="s">
        <v>5</v>
      </c>
      <c r="K34" t="s">
        <v>200</v>
      </c>
      <c r="L34" s="6" t="s">
        <v>326</v>
      </c>
      <c r="M34" t="s">
        <v>36</v>
      </c>
      <c r="N34" t="s">
        <v>327</v>
      </c>
      <c r="O34" t="s">
        <v>328</v>
      </c>
      <c r="P34" t="s">
        <v>329</v>
      </c>
      <c r="Q34">
        <v>44</v>
      </c>
      <c r="R34" t="s">
        <v>175</v>
      </c>
      <c r="S34" t="s">
        <v>176</v>
      </c>
      <c r="T34" t="s">
        <v>5</v>
      </c>
      <c r="U34" t="s">
        <v>200</v>
      </c>
      <c r="V34">
        <v>5</v>
      </c>
      <c r="W34" t="s">
        <v>330</v>
      </c>
      <c r="X34" t="s">
        <v>331</v>
      </c>
      <c r="Z34" t="s">
        <v>191</v>
      </c>
      <c r="AB34" t="s">
        <v>332</v>
      </c>
      <c r="AF34">
        <v>46055.791666666701</v>
      </c>
      <c r="AI34" t="s">
        <v>220</v>
      </c>
      <c r="AJ34" t="s">
        <v>186</v>
      </c>
      <c r="AK34" t="s">
        <v>333</v>
      </c>
      <c r="AL34" t="s">
        <v>221</v>
      </c>
      <c r="AM34" t="s">
        <v>208</v>
      </c>
      <c r="AN34" t="s">
        <v>189</v>
      </c>
      <c r="AO34" t="s">
        <v>26</v>
      </c>
      <c r="AP34" t="s">
        <v>32</v>
      </c>
      <c r="AQ34" t="s">
        <v>53</v>
      </c>
      <c r="AR34" t="s">
        <v>190</v>
      </c>
      <c r="AS34" t="s">
        <v>174</v>
      </c>
      <c r="AT34" t="s">
        <v>191</v>
      </c>
    </row>
    <row r="35" spans="1:46" ht="210" x14ac:dyDescent="0.25">
      <c r="A35" s="5">
        <v>46069.704027777778</v>
      </c>
      <c r="B35" t="s">
        <v>324</v>
      </c>
      <c r="C35" t="s">
        <v>173</v>
      </c>
      <c r="D35" t="s">
        <v>174</v>
      </c>
      <c r="E35" t="s">
        <v>325</v>
      </c>
      <c r="H35" t="s">
        <v>175</v>
      </c>
      <c r="I35" t="s">
        <v>176</v>
      </c>
      <c r="J35" t="s">
        <v>5</v>
      </c>
      <c r="K35" t="s">
        <v>200</v>
      </c>
      <c r="L35" s="6" t="s">
        <v>326</v>
      </c>
      <c r="M35" t="s">
        <v>36</v>
      </c>
      <c r="N35" t="s">
        <v>327</v>
      </c>
      <c r="O35" t="s">
        <v>328</v>
      </c>
      <c r="P35" t="s">
        <v>329</v>
      </c>
      <c r="Q35">
        <v>30</v>
      </c>
      <c r="R35" t="s">
        <v>175</v>
      </c>
      <c r="S35" t="s">
        <v>176</v>
      </c>
      <c r="T35" t="s">
        <v>5</v>
      </c>
      <c r="U35" t="s">
        <v>200</v>
      </c>
      <c r="V35">
        <v>4</v>
      </c>
      <c r="W35" t="s">
        <v>330</v>
      </c>
      <c r="X35" t="s">
        <v>331</v>
      </c>
      <c r="Z35" t="s">
        <v>191</v>
      </c>
      <c r="AB35" t="s">
        <v>334</v>
      </c>
      <c r="AF35">
        <v>46055.791666666701</v>
      </c>
      <c r="AI35" t="s">
        <v>220</v>
      </c>
      <c r="AJ35" t="s">
        <v>186</v>
      </c>
      <c r="AK35" t="s">
        <v>333</v>
      </c>
      <c r="AL35" t="s">
        <v>221</v>
      </c>
      <c r="AM35" t="s">
        <v>208</v>
      </c>
      <c r="AN35" t="s">
        <v>189</v>
      </c>
      <c r="AO35" t="s">
        <v>26</v>
      </c>
      <c r="AP35" t="s">
        <v>32</v>
      </c>
      <c r="AQ35" t="s">
        <v>53</v>
      </c>
      <c r="AR35" t="s">
        <v>190</v>
      </c>
      <c r="AS35" t="s">
        <v>174</v>
      </c>
      <c r="AT35" t="s">
        <v>191</v>
      </c>
    </row>
    <row r="36" spans="1:46" ht="90" x14ac:dyDescent="0.25">
      <c r="A36" s="5">
        <v>46065.483784722222</v>
      </c>
      <c r="B36" t="s">
        <v>335</v>
      </c>
      <c r="C36" t="s">
        <v>173</v>
      </c>
      <c r="D36" t="s">
        <v>174</v>
      </c>
      <c r="E36" t="s">
        <v>325</v>
      </c>
      <c r="H36" t="s">
        <v>175</v>
      </c>
      <c r="I36" t="s">
        <v>176</v>
      </c>
      <c r="J36" t="s">
        <v>5</v>
      </c>
      <c r="K36" t="s">
        <v>200</v>
      </c>
      <c r="L36" s="6" t="s">
        <v>336</v>
      </c>
      <c r="M36" t="s">
        <v>121</v>
      </c>
      <c r="N36" t="s">
        <v>337</v>
      </c>
      <c r="O36" t="s">
        <v>338</v>
      </c>
      <c r="P36" t="s">
        <v>339</v>
      </c>
      <c r="Q36">
        <v>27</v>
      </c>
      <c r="R36" t="s">
        <v>175</v>
      </c>
      <c r="S36" t="s">
        <v>176</v>
      </c>
      <c r="T36" t="s">
        <v>8</v>
      </c>
      <c r="U36" t="s">
        <v>200</v>
      </c>
      <c r="V36">
        <v>281</v>
      </c>
      <c r="W36" t="s">
        <v>340</v>
      </c>
      <c r="X36" t="s">
        <v>341</v>
      </c>
      <c r="Z36" t="s">
        <v>342</v>
      </c>
      <c r="AC36" t="s">
        <v>343</v>
      </c>
      <c r="AF36">
        <v>46063.791666666701</v>
      </c>
      <c r="AI36" t="s">
        <v>344</v>
      </c>
      <c r="AJ36" t="s">
        <v>345</v>
      </c>
      <c r="AK36" t="s">
        <v>346</v>
      </c>
      <c r="AL36" t="s">
        <v>346</v>
      </c>
      <c r="AM36" t="s">
        <v>208</v>
      </c>
      <c r="AN36" t="s">
        <v>189</v>
      </c>
      <c r="AO36" t="s">
        <v>47</v>
      </c>
      <c r="AP36" t="s">
        <v>47</v>
      </c>
      <c r="AQ36" t="s">
        <v>53</v>
      </c>
      <c r="AR36" t="s">
        <v>190</v>
      </c>
      <c r="AS36" t="s">
        <v>174</v>
      </c>
      <c r="AT36" t="s">
        <v>347</v>
      </c>
    </row>
    <row r="37" spans="1:46" ht="105" x14ac:dyDescent="0.25">
      <c r="A37" s="5">
        <v>46058.64434027778</v>
      </c>
      <c r="B37" t="s">
        <v>348</v>
      </c>
      <c r="C37" t="s">
        <v>173</v>
      </c>
      <c r="D37" t="s">
        <v>174</v>
      </c>
      <c r="E37" t="s">
        <v>147</v>
      </c>
      <c r="H37" t="s">
        <v>175</v>
      </c>
      <c r="I37" t="s">
        <v>176</v>
      </c>
      <c r="J37" t="s">
        <v>5</v>
      </c>
      <c r="K37" t="s">
        <v>177</v>
      </c>
      <c r="L37" s="6" t="s">
        <v>349</v>
      </c>
      <c r="M37" t="s">
        <v>7</v>
      </c>
      <c r="N37" t="s">
        <v>350</v>
      </c>
      <c r="O37" t="s">
        <v>351</v>
      </c>
      <c r="P37" t="s">
        <v>352</v>
      </c>
      <c r="R37" t="s">
        <v>175</v>
      </c>
      <c r="S37" t="s">
        <v>176</v>
      </c>
      <c r="T37" t="s">
        <v>5</v>
      </c>
      <c r="U37" t="s">
        <v>177</v>
      </c>
      <c r="V37">
        <v>1</v>
      </c>
      <c r="W37" t="s">
        <v>182</v>
      </c>
      <c r="X37" t="s">
        <v>183</v>
      </c>
      <c r="Z37" t="s">
        <v>184</v>
      </c>
      <c r="AF37">
        <v>45984.791666666701</v>
      </c>
      <c r="AI37" t="s">
        <v>185</v>
      </c>
      <c r="AJ37" t="s">
        <v>186</v>
      </c>
      <c r="AK37" t="s">
        <v>187</v>
      </c>
      <c r="AL37" t="s">
        <v>187</v>
      </c>
      <c r="AM37" t="s">
        <v>188</v>
      </c>
      <c r="AN37" t="s">
        <v>189</v>
      </c>
      <c r="AO37" t="s">
        <v>6</v>
      </c>
      <c r="AP37" t="s">
        <v>9</v>
      </c>
      <c r="AQ37" t="s">
        <v>53</v>
      </c>
      <c r="AR37" t="s">
        <v>190</v>
      </c>
      <c r="AS37" t="s">
        <v>174</v>
      </c>
      <c r="AT37" t="s">
        <v>191</v>
      </c>
    </row>
    <row r="38" spans="1:46" ht="105" x14ac:dyDescent="0.25">
      <c r="A38" s="5">
        <v>46058.648148148146</v>
      </c>
      <c r="B38" t="s">
        <v>353</v>
      </c>
      <c r="C38" t="s">
        <v>173</v>
      </c>
      <c r="D38" t="s">
        <v>174</v>
      </c>
      <c r="E38" t="s">
        <v>147</v>
      </c>
      <c r="H38" t="s">
        <v>175</v>
      </c>
      <c r="I38" t="s">
        <v>176</v>
      </c>
      <c r="J38" t="s">
        <v>5</v>
      </c>
      <c r="K38" t="s">
        <v>177</v>
      </c>
      <c r="L38" s="6" t="s">
        <v>354</v>
      </c>
      <c r="M38" t="s">
        <v>7</v>
      </c>
      <c r="N38" t="s">
        <v>355</v>
      </c>
      <c r="O38" t="s">
        <v>356</v>
      </c>
      <c r="P38" t="s">
        <v>357</v>
      </c>
      <c r="R38" t="s">
        <v>175</v>
      </c>
      <c r="S38" t="s">
        <v>176</v>
      </c>
      <c r="T38" t="s">
        <v>5</v>
      </c>
      <c r="U38" t="s">
        <v>177</v>
      </c>
      <c r="V38">
        <v>1</v>
      </c>
      <c r="W38" t="s">
        <v>182</v>
      </c>
      <c r="X38" t="s">
        <v>183</v>
      </c>
      <c r="Z38" t="s">
        <v>184</v>
      </c>
      <c r="AF38">
        <v>45979.791666666701</v>
      </c>
      <c r="AI38" t="s">
        <v>185</v>
      </c>
      <c r="AJ38" t="s">
        <v>186</v>
      </c>
      <c r="AK38" t="s">
        <v>187</v>
      </c>
      <c r="AL38" t="s">
        <v>187</v>
      </c>
      <c r="AM38" t="s">
        <v>188</v>
      </c>
      <c r="AN38" t="s">
        <v>189</v>
      </c>
      <c r="AO38" t="s">
        <v>6</v>
      </c>
      <c r="AP38" t="s">
        <v>9</v>
      </c>
      <c r="AQ38" t="s">
        <v>53</v>
      </c>
      <c r="AR38" t="s">
        <v>190</v>
      </c>
      <c r="AS38" t="s">
        <v>174</v>
      </c>
      <c r="AT38" t="s">
        <v>191</v>
      </c>
    </row>
    <row r="39" spans="1:46" ht="105" x14ac:dyDescent="0.25">
      <c r="A39" s="5">
        <v>46058.652048611111</v>
      </c>
      <c r="B39" t="s">
        <v>358</v>
      </c>
      <c r="C39" t="s">
        <v>173</v>
      </c>
      <c r="D39" t="s">
        <v>174</v>
      </c>
      <c r="E39" t="s">
        <v>147</v>
      </c>
      <c r="H39" t="s">
        <v>175</v>
      </c>
      <c r="I39" t="s">
        <v>176</v>
      </c>
      <c r="J39" t="s">
        <v>5</v>
      </c>
      <c r="K39" t="s">
        <v>177</v>
      </c>
      <c r="L39" s="6" t="s">
        <v>359</v>
      </c>
      <c r="M39" t="s">
        <v>7</v>
      </c>
      <c r="N39" t="s">
        <v>360</v>
      </c>
      <c r="O39" t="s">
        <v>361</v>
      </c>
      <c r="P39" t="s">
        <v>362</v>
      </c>
      <c r="R39" t="s">
        <v>175</v>
      </c>
      <c r="S39" t="s">
        <v>176</v>
      </c>
      <c r="T39" t="s">
        <v>5</v>
      </c>
      <c r="U39" t="s">
        <v>177</v>
      </c>
      <c r="V39">
        <v>1</v>
      </c>
      <c r="W39" t="s">
        <v>182</v>
      </c>
      <c r="X39" t="s">
        <v>183</v>
      </c>
      <c r="Z39" t="s">
        <v>184</v>
      </c>
      <c r="AF39">
        <v>45980.791666666701</v>
      </c>
      <c r="AI39" t="s">
        <v>185</v>
      </c>
      <c r="AJ39" t="s">
        <v>186</v>
      </c>
      <c r="AK39" t="s">
        <v>187</v>
      </c>
      <c r="AL39" t="s">
        <v>187</v>
      </c>
      <c r="AM39" t="s">
        <v>188</v>
      </c>
      <c r="AN39" t="s">
        <v>189</v>
      </c>
      <c r="AO39" t="s">
        <v>6</v>
      </c>
      <c r="AP39" t="s">
        <v>9</v>
      </c>
      <c r="AQ39" t="s">
        <v>53</v>
      </c>
      <c r="AR39" t="s">
        <v>190</v>
      </c>
      <c r="AS39" t="s">
        <v>174</v>
      </c>
      <c r="AT39" t="s">
        <v>191</v>
      </c>
    </row>
    <row r="40" spans="1:46" ht="105" x14ac:dyDescent="0.25">
      <c r="A40" s="5">
        <v>46058.65587962963</v>
      </c>
      <c r="B40" t="s">
        <v>363</v>
      </c>
      <c r="C40" t="s">
        <v>173</v>
      </c>
      <c r="D40" t="s">
        <v>174</v>
      </c>
      <c r="E40" t="s">
        <v>147</v>
      </c>
      <c r="H40" t="s">
        <v>175</v>
      </c>
      <c r="I40" t="s">
        <v>176</v>
      </c>
      <c r="J40" t="s">
        <v>5</v>
      </c>
      <c r="K40" t="s">
        <v>177</v>
      </c>
      <c r="L40" s="6" t="s">
        <v>364</v>
      </c>
      <c r="M40" t="s">
        <v>7</v>
      </c>
      <c r="N40" t="s">
        <v>365</v>
      </c>
      <c r="O40" t="s">
        <v>366</v>
      </c>
      <c r="P40" t="s">
        <v>367</v>
      </c>
      <c r="R40" t="s">
        <v>175</v>
      </c>
      <c r="S40" t="s">
        <v>176</v>
      </c>
      <c r="T40" t="s">
        <v>5</v>
      </c>
      <c r="U40" t="s">
        <v>177</v>
      </c>
      <c r="V40">
        <v>1</v>
      </c>
      <c r="W40" t="s">
        <v>182</v>
      </c>
      <c r="X40" t="s">
        <v>183</v>
      </c>
      <c r="Z40" t="s">
        <v>184</v>
      </c>
      <c r="AF40">
        <v>45984.791666666701</v>
      </c>
      <c r="AI40" t="s">
        <v>185</v>
      </c>
      <c r="AJ40" t="s">
        <v>186</v>
      </c>
      <c r="AK40" t="s">
        <v>187</v>
      </c>
      <c r="AL40" t="s">
        <v>187</v>
      </c>
      <c r="AM40" t="s">
        <v>188</v>
      </c>
      <c r="AN40" t="s">
        <v>189</v>
      </c>
      <c r="AO40" t="s">
        <v>6</v>
      </c>
      <c r="AP40" t="s">
        <v>9</v>
      </c>
      <c r="AQ40" t="s">
        <v>53</v>
      </c>
      <c r="AR40" t="s">
        <v>190</v>
      </c>
      <c r="AS40" t="s">
        <v>174</v>
      </c>
      <c r="AT40" t="s">
        <v>191</v>
      </c>
    </row>
    <row r="41" spans="1:46" ht="105" x14ac:dyDescent="0.25">
      <c r="A41" s="5">
        <v>46058.659722222219</v>
      </c>
      <c r="B41" t="s">
        <v>368</v>
      </c>
      <c r="C41" t="s">
        <v>173</v>
      </c>
      <c r="D41" t="s">
        <v>174</v>
      </c>
      <c r="E41" t="s">
        <v>147</v>
      </c>
      <c r="H41" t="s">
        <v>175</v>
      </c>
      <c r="I41" t="s">
        <v>176</v>
      </c>
      <c r="J41" t="s">
        <v>5</v>
      </c>
      <c r="K41" t="s">
        <v>177</v>
      </c>
      <c r="L41" s="6" t="s">
        <v>268</v>
      </c>
      <c r="M41" t="s">
        <v>7</v>
      </c>
      <c r="N41" t="s">
        <v>369</v>
      </c>
      <c r="O41" t="s">
        <v>370</v>
      </c>
      <c r="P41" t="s">
        <v>371</v>
      </c>
      <c r="R41" t="s">
        <v>175</v>
      </c>
      <c r="S41" t="s">
        <v>176</v>
      </c>
      <c r="T41" t="s">
        <v>5</v>
      </c>
      <c r="U41" t="s">
        <v>177</v>
      </c>
      <c r="V41">
        <v>1</v>
      </c>
      <c r="W41" t="s">
        <v>182</v>
      </c>
      <c r="X41" t="s">
        <v>183</v>
      </c>
      <c r="Z41" t="s">
        <v>184</v>
      </c>
      <c r="AF41">
        <v>45985.791666666701</v>
      </c>
      <c r="AI41" t="s">
        <v>185</v>
      </c>
      <c r="AJ41" t="s">
        <v>186</v>
      </c>
      <c r="AK41" t="s">
        <v>187</v>
      </c>
      <c r="AL41" t="s">
        <v>187</v>
      </c>
      <c r="AM41" t="s">
        <v>188</v>
      </c>
      <c r="AN41" t="s">
        <v>189</v>
      </c>
      <c r="AO41" t="s">
        <v>6</v>
      </c>
      <c r="AP41" t="s">
        <v>9</v>
      </c>
      <c r="AQ41" t="s">
        <v>53</v>
      </c>
      <c r="AR41" t="s">
        <v>190</v>
      </c>
      <c r="AS41" t="s">
        <v>174</v>
      </c>
      <c r="AT41" t="s">
        <v>191</v>
      </c>
    </row>
    <row r="42" spans="1:46" ht="105" x14ac:dyDescent="0.25">
      <c r="A42" s="5">
        <v>46059.652673611112</v>
      </c>
      <c r="B42" t="s">
        <v>372</v>
      </c>
      <c r="C42" t="s">
        <v>173</v>
      </c>
      <c r="D42" t="s">
        <v>174</v>
      </c>
      <c r="E42" t="s">
        <v>325</v>
      </c>
      <c r="H42" t="s">
        <v>175</v>
      </c>
      <c r="I42" t="s">
        <v>176</v>
      </c>
      <c r="J42" t="s">
        <v>5</v>
      </c>
      <c r="K42" t="s">
        <v>200</v>
      </c>
      <c r="L42" s="6" t="s">
        <v>373</v>
      </c>
      <c r="M42" t="s">
        <v>111</v>
      </c>
      <c r="N42" t="s">
        <v>374</v>
      </c>
      <c r="O42" t="s">
        <v>375</v>
      </c>
      <c r="P42" t="s">
        <v>376</v>
      </c>
      <c r="Q42">
        <v>6</v>
      </c>
      <c r="R42" t="s">
        <v>175</v>
      </c>
      <c r="S42" t="s">
        <v>176</v>
      </c>
      <c r="T42" t="s">
        <v>5</v>
      </c>
      <c r="U42" t="s">
        <v>200</v>
      </c>
      <c r="V42">
        <v>28</v>
      </c>
      <c r="W42" t="s">
        <v>377</v>
      </c>
      <c r="X42" t="s">
        <v>378</v>
      </c>
      <c r="Z42" t="s">
        <v>191</v>
      </c>
      <c r="AB42" t="s">
        <v>379</v>
      </c>
      <c r="AF42">
        <v>46051.791666666701</v>
      </c>
      <c r="AI42" t="s">
        <v>220</v>
      </c>
      <c r="AJ42" t="s">
        <v>186</v>
      </c>
      <c r="AK42" t="s">
        <v>207</v>
      </c>
      <c r="AL42" t="s">
        <v>207</v>
      </c>
      <c r="AM42" t="s">
        <v>208</v>
      </c>
      <c r="AN42" t="s">
        <v>189</v>
      </c>
      <c r="AO42" t="s">
        <v>39</v>
      </c>
      <c r="AP42" t="s">
        <v>41</v>
      </c>
      <c r="AQ42" t="s">
        <v>53</v>
      </c>
      <c r="AR42" t="s">
        <v>190</v>
      </c>
      <c r="AS42" t="s">
        <v>174</v>
      </c>
      <c r="AT42" t="s">
        <v>191</v>
      </c>
    </row>
    <row r="43" spans="1:46" ht="120" x14ac:dyDescent="0.25">
      <c r="A43" s="5">
        <v>46057.634386574071</v>
      </c>
      <c r="B43" t="s">
        <v>380</v>
      </c>
      <c r="C43" t="s">
        <v>173</v>
      </c>
      <c r="D43" t="s">
        <v>174</v>
      </c>
      <c r="E43" t="s">
        <v>147</v>
      </c>
      <c r="H43" t="s">
        <v>175</v>
      </c>
      <c r="I43" t="s">
        <v>176</v>
      </c>
      <c r="J43" t="s">
        <v>5</v>
      </c>
      <c r="K43" t="s">
        <v>177</v>
      </c>
      <c r="L43" s="6" t="s">
        <v>381</v>
      </c>
      <c r="M43" t="s">
        <v>7</v>
      </c>
      <c r="N43" t="s">
        <v>382</v>
      </c>
      <c r="O43" t="s">
        <v>383</v>
      </c>
      <c r="P43" t="s">
        <v>384</v>
      </c>
      <c r="R43" t="s">
        <v>175</v>
      </c>
      <c r="S43" t="s">
        <v>176</v>
      </c>
      <c r="T43" t="s">
        <v>5</v>
      </c>
      <c r="U43" t="s">
        <v>177</v>
      </c>
      <c r="V43">
        <v>1</v>
      </c>
      <c r="W43" t="s">
        <v>182</v>
      </c>
      <c r="X43" t="s">
        <v>183</v>
      </c>
      <c r="Z43" t="s">
        <v>184</v>
      </c>
      <c r="AF43">
        <v>45978.791666666701</v>
      </c>
      <c r="AI43" t="s">
        <v>185</v>
      </c>
      <c r="AJ43" t="s">
        <v>186</v>
      </c>
      <c r="AK43" t="s">
        <v>187</v>
      </c>
      <c r="AL43" t="s">
        <v>187</v>
      </c>
      <c r="AM43" t="s">
        <v>188</v>
      </c>
      <c r="AN43" t="s">
        <v>189</v>
      </c>
      <c r="AO43" t="s">
        <v>6</v>
      </c>
      <c r="AP43" t="s">
        <v>9</v>
      </c>
      <c r="AQ43" t="s">
        <v>53</v>
      </c>
      <c r="AR43" t="s">
        <v>190</v>
      </c>
      <c r="AS43" t="s">
        <v>174</v>
      </c>
      <c r="AT43" t="s">
        <v>191</v>
      </c>
    </row>
    <row r="44" spans="1:46" ht="150" x14ac:dyDescent="0.25">
      <c r="A44" s="5">
        <v>46056.377199074072</v>
      </c>
      <c r="B44" t="s">
        <v>385</v>
      </c>
      <c r="C44" t="s">
        <v>173</v>
      </c>
      <c r="D44" t="s">
        <v>174</v>
      </c>
      <c r="E44" t="s">
        <v>325</v>
      </c>
      <c r="H44" t="s">
        <v>175</v>
      </c>
      <c r="I44" t="s">
        <v>176</v>
      </c>
      <c r="J44" t="s">
        <v>5</v>
      </c>
      <c r="K44" t="s">
        <v>200</v>
      </c>
      <c r="L44" s="6" t="s">
        <v>386</v>
      </c>
      <c r="M44" t="s">
        <v>84</v>
      </c>
      <c r="N44" t="s">
        <v>387</v>
      </c>
      <c r="O44" t="s">
        <v>388</v>
      </c>
      <c r="P44" t="s">
        <v>389</v>
      </c>
      <c r="Q44">
        <v>3</v>
      </c>
      <c r="R44" t="s">
        <v>175</v>
      </c>
      <c r="S44" t="s">
        <v>176</v>
      </c>
      <c r="T44" t="s">
        <v>5</v>
      </c>
      <c r="U44" t="s">
        <v>200</v>
      </c>
      <c r="V44">
        <v>8</v>
      </c>
      <c r="W44" t="s">
        <v>330</v>
      </c>
      <c r="X44" t="s">
        <v>331</v>
      </c>
      <c r="Z44" t="s">
        <v>191</v>
      </c>
      <c r="AB44" t="s">
        <v>390</v>
      </c>
      <c r="AF44">
        <v>46047.791666666701</v>
      </c>
      <c r="AI44" t="s">
        <v>220</v>
      </c>
      <c r="AJ44" t="s">
        <v>186</v>
      </c>
      <c r="AK44" t="s">
        <v>207</v>
      </c>
      <c r="AL44" t="s">
        <v>207</v>
      </c>
      <c r="AM44" t="s">
        <v>208</v>
      </c>
      <c r="AN44" t="s">
        <v>189</v>
      </c>
      <c r="AO44" t="s">
        <v>26</v>
      </c>
      <c r="AP44" t="s">
        <v>32</v>
      </c>
      <c r="AQ44" t="s">
        <v>53</v>
      </c>
      <c r="AR44" t="s">
        <v>190</v>
      </c>
      <c r="AS44" t="s">
        <v>174</v>
      </c>
      <c r="AT44" t="s">
        <v>191</v>
      </c>
    </row>
    <row r="45" spans="1:46" ht="210" x14ac:dyDescent="0.25">
      <c r="A45" s="5">
        <v>46064.400462962964</v>
      </c>
      <c r="B45" t="s">
        <v>391</v>
      </c>
      <c r="C45" t="s">
        <v>173</v>
      </c>
      <c r="D45" t="s">
        <v>174</v>
      </c>
      <c r="E45" t="s">
        <v>210</v>
      </c>
      <c r="G45" t="s">
        <v>392</v>
      </c>
      <c r="H45" t="s">
        <v>175</v>
      </c>
      <c r="I45" t="s">
        <v>176</v>
      </c>
      <c r="J45" t="s">
        <v>5</v>
      </c>
      <c r="K45" t="s">
        <v>200</v>
      </c>
      <c r="L45" s="6" t="s">
        <v>393</v>
      </c>
      <c r="M45" t="s">
        <v>50</v>
      </c>
      <c r="N45" t="s">
        <v>394</v>
      </c>
      <c r="O45" t="s">
        <v>395</v>
      </c>
      <c r="P45" t="s">
        <v>396</v>
      </c>
      <c r="Q45">
        <v>1</v>
      </c>
      <c r="R45" t="s">
        <v>175</v>
      </c>
      <c r="S45" t="s">
        <v>176</v>
      </c>
      <c r="T45" t="s">
        <v>5</v>
      </c>
      <c r="U45" t="s">
        <v>200</v>
      </c>
      <c r="V45">
        <v>60</v>
      </c>
      <c r="W45" t="s">
        <v>397</v>
      </c>
      <c r="X45" t="s">
        <v>398</v>
      </c>
      <c r="Z45" t="s">
        <v>191</v>
      </c>
      <c r="AB45" t="s">
        <v>399</v>
      </c>
      <c r="AC45" t="s">
        <v>400</v>
      </c>
      <c r="AF45">
        <v>45519.833333333299</v>
      </c>
      <c r="AI45" t="s">
        <v>220</v>
      </c>
      <c r="AJ45" t="s">
        <v>186</v>
      </c>
      <c r="AK45" t="s">
        <v>207</v>
      </c>
      <c r="AL45" t="s">
        <v>207</v>
      </c>
      <c r="AM45" t="s">
        <v>208</v>
      </c>
      <c r="AN45" t="s">
        <v>189</v>
      </c>
      <c r="AO45" t="s">
        <v>27</v>
      </c>
      <c r="AP45" t="s">
        <v>33</v>
      </c>
      <c r="AQ45" t="s">
        <v>53</v>
      </c>
      <c r="AR45" t="s">
        <v>190</v>
      </c>
      <c r="AS45" t="s">
        <v>174</v>
      </c>
      <c r="AT45" t="s">
        <v>191</v>
      </c>
    </row>
    <row r="46" spans="1:46" ht="210" x14ac:dyDescent="0.25">
      <c r="A46" s="5">
        <v>46064.400462962964</v>
      </c>
      <c r="B46" t="s">
        <v>391</v>
      </c>
      <c r="C46" t="s">
        <v>173</v>
      </c>
      <c r="D46" t="s">
        <v>174</v>
      </c>
      <c r="E46" t="s">
        <v>210</v>
      </c>
      <c r="G46" t="s">
        <v>392</v>
      </c>
      <c r="H46" t="s">
        <v>175</v>
      </c>
      <c r="I46" t="s">
        <v>176</v>
      </c>
      <c r="J46" t="s">
        <v>5</v>
      </c>
      <c r="K46" t="s">
        <v>200</v>
      </c>
      <c r="L46" s="6" t="s">
        <v>393</v>
      </c>
      <c r="M46" t="s">
        <v>50</v>
      </c>
      <c r="N46" t="s">
        <v>394</v>
      </c>
      <c r="O46" t="s">
        <v>395</v>
      </c>
      <c r="P46" t="s">
        <v>396</v>
      </c>
      <c r="Q46">
        <v>3</v>
      </c>
      <c r="R46" t="s">
        <v>175</v>
      </c>
      <c r="S46" t="s">
        <v>176</v>
      </c>
      <c r="T46" t="s">
        <v>11</v>
      </c>
      <c r="U46" t="s">
        <v>200</v>
      </c>
      <c r="V46">
        <v>60</v>
      </c>
      <c r="W46" t="s">
        <v>216</v>
      </c>
      <c r="X46" t="s">
        <v>401</v>
      </c>
      <c r="Z46" t="s">
        <v>191</v>
      </c>
      <c r="AB46" t="s">
        <v>402</v>
      </c>
      <c r="AC46" t="s">
        <v>403</v>
      </c>
      <c r="AF46">
        <v>45519.833333333299</v>
      </c>
      <c r="AI46" t="s">
        <v>220</v>
      </c>
      <c r="AJ46" t="s">
        <v>186</v>
      </c>
      <c r="AK46" t="s">
        <v>207</v>
      </c>
      <c r="AL46" t="s">
        <v>207</v>
      </c>
      <c r="AM46" t="s">
        <v>208</v>
      </c>
      <c r="AN46" t="s">
        <v>189</v>
      </c>
      <c r="AO46" t="s">
        <v>51</v>
      </c>
      <c r="AP46" t="s">
        <v>60</v>
      </c>
      <c r="AQ46" t="s">
        <v>53</v>
      </c>
      <c r="AR46" t="s">
        <v>190</v>
      </c>
      <c r="AS46" t="s">
        <v>174</v>
      </c>
      <c r="AT46" t="s">
        <v>191</v>
      </c>
    </row>
    <row r="47" spans="1:46" ht="105" x14ac:dyDescent="0.25">
      <c r="A47" s="5">
        <v>46072.476979166669</v>
      </c>
      <c r="B47" t="s">
        <v>404</v>
      </c>
      <c r="C47" t="s">
        <v>173</v>
      </c>
      <c r="D47" t="s">
        <v>174</v>
      </c>
      <c r="E47" t="s">
        <v>147</v>
      </c>
      <c r="H47" t="s">
        <v>175</v>
      </c>
      <c r="I47" t="s">
        <v>176</v>
      </c>
      <c r="J47" t="s">
        <v>5</v>
      </c>
      <c r="K47" t="s">
        <v>177</v>
      </c>
      <c r="L47" s="6" t="s">
        <v>405</v>
      </c>
      <c r="M47" t="s">
        <v>7</v>
      </c>
      <c r="N47" t="s">
        <v>406</v>
      </c>
      <c r="O47" t="s">
        <v>407</v>
      </c>
      <c r="P47" t="s">
        <v>408</v>
      </c>
      <c r="R47" t="s">
        <v>175</v>
      </c>
      <c r="S47" t="s">
        <v>176</v>
      </c>
      <c r="T47" t="s">
        <v>5</v>
      </c>
      <c r="U47" t="s">
        <v>177</v>
      </c>
      <c r="V47">
        <v>1</v>
      </c>
      <c r="W47" t="s">
        <v>182</v>
      </c>
      <c r="X47" t="s">
        <v>183</v>
      </c>
      <c r="Z47" t="s">
        <v>184</v>
      </c>
      <c r="AF47">
        <v>45992.791666666701</v>
      </c>
      <c r="AI47" t="s">
        <v>185</v>
      </c>
      <c r="AJ47" t="s">
        <v>186</v>
      </c>
      <c r="AK47" t="s">
        <v>187</v>
      </c>
      <c r="AL47" t="s">
        <v>187</v>
      </c>
      <c r="AM47" t="s">
        <v>188</v>
      </c>
      <c r="AN47" t="s">
        <v>189</v>
      </c>
      <c r="AO47" t="s">
        <v>6</v>
      </c>
      <c r="AP47" t="s">
        <v>9</v>
      </c>
      <c r="AQ47" t="s">
        <v>53</v>
      </c>
      <c r="AR47" t="s">
        <v>190</v>
      </c>
      <c r="AS47" t="s">
        <v>174</v>
      </c>
      <c r="AT47" t="s">
        <v>191</v>
      </c>
    </row>
    <row r="48" spans="1:46" ht="105" x14ac:dyDescent="0.25">
      <c r="A48" s="5">
        <v>46072.482118055559</v>
      </c>
      <c r="B48" t="s">
        <v>409</v>
      </c>
      <c r="C48" t="s">
        <v>173</v>
      </c>
      <c r="D48" t="s">
        <v>174</v>
      </c>
      <c r="E48" t="s">
        <v>147</v>
      </c>
      <c r="H48" t="s">
        <v>175</v>
      </c>
      <c r="I48" t="s">
        <v>176</v>
      </c>
      <c r="J48" t="s">
        <v>5</v>
      </c>
      <c r="K48" t="s">
        <v>177</v>
      </c>
      <c r="L48" s="6" t="s">
        <v>410</v>
      </c>
      <c r="M48" t="s">
        <v>7</v>
      </c>
      <c r="N48" t="s">
        <v>411</v>
      </c>
      <c r="O48" t="s">
        <v>412</v>
      </c>
      <c r="P48" t="s">
        <v>413</v>
      </c>
      <c r="R48" t="s">
        <v>175</v>
      </c>
      <c r="S48" t="s">
        <v>176</v>
      </c>
      <c r="T48" t="s">
        <v>5</v>
      </c>
      <c r="U48" t="s">
        <v>177</v>
      </c>
      <c r="V48">
        <v>1</v>
      </c>
      <c r="W48" t="s">
        <v>182</v>
      </c>
      <c r="X48" t="s">
        <v>183</v>
      </c>
      <c r="Z48" t="s">
        <v>184</v>
      </c>
      <c r="AF48">
        <v>45992.791666666701</v>
      </c>
      <c r="AI48" t="s">
        <v>185</v>
      </c>
      <c r="AJ48" t="s">
        <v>186</v>
      </c>
      <c r="AK48" t="s">
        <v>187</v>
      </c>
      <c r="AL48" t="s">
        <v>187</v>
      </c>
      <c r="AM48" t="s">
        <v>188</v>
      </c>
      <c r="AN48" t="s">
        <v>189</v>
      </c>
      <c r="AO48" t="s">
        <v>6</v>
      </c>
      <c r="AP48" t="s">
        <v>9</v>
      </c>
      <c r="AQ48" t="s">
        <v>53</v>
      </c>
      <c r="AR48" t="s">
        <v>190</v>
      </c>
      <c r="AS48" t="s">
        <v>174</v>
      </c>
      <c r="AT48" t="s">
        <v>191</v>
      </c>
    </row>
    <row r="49" spans="1:46" ht="105" x14ac:dyDescent="0.25">
      <c r="A49" s="5">
        <v>46072.486828703702</v>
      </c>
      <c r="B49" t="s">
        <v>414</v>
      </c>
      <c r="C49" t="s">
        <v>173</v>
      </c>
      <c r="D49" t="s">
        <v>174</v>
      </c>
      <c r="E49" t="s">
        <v>147</v>
      </c>
      <c r="H49" t="s">
        <v>175</v>
      </c>
      <c r="I49" t="s">
        <v>176</v>
      </c>
      <c r="J49" t="s">
        <v>5</v>
      </c>
      <c r="K49" t="s">
        <v>177</v>
      </c>
      <c r="L49" s="6" t="s">
        <v>415</v>
      </c>
      <c r="M49" t="s">
        <v>7</v>
      </c>
      <c r="N49" t="s">
        <v>416</v>
      </c>
      <c r="O49" t="s">
        <v>417</v>
      </c>
      <c r="P49" t="s">
        <v>418</v>
      </c>
      <c r="R49" t="s">
        <v>175</v>
      </c>
      <c r="S49" t="s">
        <v>176</v>
      </c>
      <c r="T49" t="s">
        <v>5</v>
      </c>
      <c r="U49" t="s">
        <v>177</v>
      </c>
      <c r="V49">
        <v>1</v>
      </c>
      <c r="W49" t="s">
        <v>182</v>
      </c>
      <c r="X49" t="s">
        <v>183</v>
      </c>
      <c r="Z49" t="s">
        <v>184</v>
      </c>
      <c r="AF49">
        <v>45992.791666666701</v>
      </c>
      <c r="AI49" t="s">
        <v>185</v>
      </c>
      <c r="AJ49" t="s">
        <v>186</v>
      </c>
      <c r="AK49" t="s">
        <v>187</v>
      </c>
      <c r="AL49" t="s">
        <v>187</v>
      </c>
      <c r="AM49" t="s">
        <v>188</v>
      </c>
      <c r="AN49" t="s">
        <v>189</v>
      </c>
      <c r="AO49" t="s">
        <v>6</v>
      </c>
      <c r="AP49" t="s">
        <v>9</v>
      </c>
      <c r="AQ49" t="s">
        <v>53</v>
      </c>
      <c r="AR49" t="s">
        <v>190</v>
      </c>
      <c r="AS49" t="s">
        <v>174</v>
      </c>
      <c r="AT49" t="s">
        <v>191</v>
      </c>
    </row>
    <row r="50" spans="1:46" ht="105" x14ac:dyDescent="0.25">
      <c r="A50" s="5">
        <v>46072.490983796299</v>
      </c>
      <c r="B50" t="s">
        <v>419</v>
      </c>
      <c r="C50" t="s">
        <v>173</v>
      </c>
      <c r="D50" t="s">
        <v>174</v>
      </c>
      <c r="E50" t="s">
        <v>147</v>
      </c>
      <c r="H50" t="s">
        <v>175</v>
      </c>
      <c r="I50" t="s">
        <v>176</v>
      </c>
      <c r="J50" t="s">
        <v>5</v>
      </c>
      <c r="K50" t="s">
        <v>177</v>
      </c>
      <c r="L50" s="6" t="s">
        <v>420</v>
      </c>
      <c r="M50" t="s">
        <v>7</v>
      </c>
      <c r="N50" t="s">
        <v>421</v>
      </c>
      <c r="O50" t="s">
        <v>422</v>
      </c>
      <c r="P50" t="s">
        <v>423</v>
      </c>
      <c r="R50" t="s">
        <v>175</v>
      </c>
      <c r="S50" t="s">
        <v>176</v>
      </c>
      <c r="T50" t="s">
        <v>5</v>
      </c>
      <c r="U50" t="s">
        <v>177</v>
      </c>
      <c r="V50">
        <v>1</v>
      </c>
      <c r="W50" t="s">
        <v>182</v>
      </c>
      <c r="X50" t="s">
        <v>183</v>
      </c>
      <c r="Z50" t="s">
        <v>184</v>
      </c>
      <c r="AF50">
        <v>45993.791666666701</v>
      </c>
      <c r="AI50" t="s">
        <v>185</v>
      </c>
      <c r="AJ50" t="s">
        <v>186</v>
      </c>
      <c r="AK50" t="s">
        <v>187</v>
      </c>
      <c r="AL50" t="s">
        <v>187</v>
      </c>
      <c r="AM50" t="s">
        <v>188</v>
      </c>
      <c r="AN50" t="s">
        <v>189</v>
      </c>
      <c r="AO50" t="s">
        <v>6</v>
      </c>
      <c r="AP50" t="s">
        <v>9</v>
      </c>
      <c r="AQ50" t="s">
        <v>53</v>
      </c>
      <c r="AR50" t="s">
        <v>190</v>
      </c>
      <c r="AS50" t="s">
        <v>174</v>
      </c>
      <c r="AT50" t="s">
        <v>191</v>
      </c>
    </row>
    <row r="51" spans="1:46" ht="105" x14ac:dyDescent="0.25">
      <c r="A51" s="5">
        <v>46072.495219907411</v>
      </c>
      <c r="B51" t="s">
        <v>424</v>
      </c>
      <c r="C51" t="s">
        <v>173</v>
      </c>
      <c r="D51" t="s">
        <v>174</v>
      </c>
      <c r="E51" t="s">
        <v>147</v>
      </c>
      <c r="H51" t="s">
        <v>175</v>
      </c>
      <c r="I51" t="s">
        <v>176</v>
      </c>
      <c r="J51" t="s">
        <v>5</v>
      </c>
      <c r="K51" t="s">
        <v>177</v>
      </c>
      <c r="L51" s="6" t="s">
        <v>425</v>
      </c>
      <c r="M51" t="s">
        <v>7</v>
      </c>
      <c r="N51" t="s">
        <v>426</v>
      </c>
      <c r="O51" t="s">
        <v>427</v>
      </c>
      <c r="P51" t="s">
        <v>428</v>
      </c>
      <c r="R51" t="s">
        <v>175</v>
      </c>
      <c r="S51" t="s">
        <v>176</v>
      </c>
      <c r="T51" t="s">
        <v>5</v>
      </c>
      <c r="U51" t="s">
        <v>177</v>
      </c>
      <c r="V51">
        <v>1</v>
      </c>
      <c r="W51" t="s">
        <v>182</v>
      </c>
      <c r="X51" t="s">
        <v>183</v>
      </c>
      <c r="Z51" t="s">
        <v>184</v>
      </c>
      <c r="AF51">
        <v>45993.791666666701</v>
      </c>
      <c r="AI51" t="s">
        <v>185</v>
      </c>
      <c r="AJ51" t="s">
        <v>186</v>
      </c>
      <c r="AK51" t="s">
        <v>187</v>
      </c>
      <c r="AL51" t="s">
        <v>187</v>
      </c>
      <c r="AM51" t="s">
        <v>188</v>
      </c>
      <c r="AN51" t="s">
        <v>189</v>
      </c>
      <c r="AO51" t="s">
        <v>6</v>
      </c>
      <c r="AP51" t="s">
        <v>9</v>
      </c>
      <c r="AQ51" t="s">
        <v>53</v>
      </c>
      <c r="AR51" t="s">
        <v>190</v>
      </c>
      <c r="AS51" t="s">
        <v>174</v>
      </c>
      <c r="AT51" t="s">
        <v>191</v>
      </c>
    </row>
    <row r="52" spans="1:46" ht="105" x14ac:dyDescent="0.25">
      <c r="A52" s="5">
        <v>46072.50099537037</v>
      </c>
      <c r="B52" t="s">
        <v>429</v>
      </c>
      <c r="C52" t="s">
        <v>173</v>
      </c>
      <c r="D52" t="s">
        <v>174</v>
      </c>
      <c r="E52" t="s">
        <v>147</v>
      </c>
      <c r="H52" t="s">
        <v>175</v>
      </c>
      <c r="I52" t="s">
        <v>176</v>
      </c>
      <c r="J52" t="s">
        <v>5</v>
      </c>
      <c r="K52" t="s">
        <v>177</v>
      </c>
      <c r="L52" s="6" t="s">
        <v>430</v>
      </c>
      <c r="M52" t="s">
        <v>7</v>
      </c>
      <c r="N52" t="s">
        <v>431</v>
      </c>
      <c r="O52" t="s">
        <v>432</v>
      </c>
      <c r="P52" t="s">
        <v>433</v>
      </c>
      <c r="R52" t="s">
        <v>175</v>
      </c>
      <c r="S52" t="s">
        <v>176</v>
      </c>
      <c r="T52" t="s">
        <v>5</v>
      </c>
      <c r="U52" t="s">
        <v>177</v>
      </c>
      <c r="V52">
        <v>1</v>
      </c>
      <c r="W52" t="s">
        <v>182</v>
      </c>
      <c r="X52" t="s">
        <v>183</v>
      </c>
      <c r="Z52" t="s">
        <v>184</v>
      </c>
      <c r="AF52">
        <v>45999.791666666701</v>
      </c>
      <c r="AI52" t="s">
        <v>185</v>
      </c>
      <c r="AJ52" t="s">
        <v>186</v>
      </c>
      <c r="AK52" t="s">
        <v>187</v>
      </c>
      <c r="AL52" t="s">
        <v>187</v>
      </c>
      <c r="AM52" t="s">
        <v>188</v>
      </c>
      <c r="AN52" t="s">
        <v>189</v>
      </c>
      <c r="AO52" t="s">
        <v>6</v>
      </c>
      <c r="AP52" t="s">
        <v>9</v>
      </c>
      <c r="AQ52" t="s">
        <v>53</v>
      </c>
      <c r="AR52" t="s">
        <v>190</v>
      </c>
      <c r="AS52" t="s">
        <v>174</v>
      </c>
      <c r="AT52" t="s">
        <v>191</v>
      </c>
    </row>
    <row r="53" spans="1:46" ht="105" x14ac:dyDescent="0.25">
      <c r="A53" s="5">
        <v>46072.50576388889</v>
      </c>
      <c r="B53" t="s">
        <v>434</v>
      </c>
      <c r="C53" t="s">
        <v>173</v>
      </c>
      <c r="D53" t="s">
        <v>174</v>
      </c>
      <c r="E53" t="s">
        <v>147</v>
      </c>
      <c r="H53" t="s">
        <v>175</v>
      </c>
      <c r="I53" t="s">
        <v>176</v>
      </c>
      <c r="J53" t="s">
        <v>5</v>
      </c>
      <c r="K53" t="s">
        <v>177</v>
      </c>
      <c r="L53" s="6" t="s">
        <v>435</v>
      </c>
      <c r="M53" t="s">
        <v>7</v>
      </c>
      <c r="N53" t="s">
        <v>436</v>
      </c>
      <c r="O53" t="s">
        <v>437</v>
      </c>
      <c r="P53" t="s">
        <v>438</v>
      </c>
      <c r="R53" t="s">
        <v>175</v>
      </c>
      <c r="S53" t="s">
        <v>176</v>
      </c>
      <c r="T53" t="s">
        <v>5</v>
      </c>
      <c r="U53" t="s">
        <v>177</v>
      </c>
      <c r="V53">
        <v>1</v>
      </c>
      <c r="W53" t="s">
        <v>182</v>
      </c>
      <c r="X53" t="s">
        <v>183</v>
      </c>
      <c r="Z53" t="s">
        <v>184</v>
      </c>
      <c r="AF53">
        <v>45999.791666666701</v>
      </c>
      <c r="AI53" t="s">
        <v>185</v>
      </c>
      <c r="AJ53" t="s">
        <v>186</v>
      </c>
      <c r="AK53" t="s">
        <v>187</v>
      </c>
      <c r="AL53" t="s">
        <v>187</v>
      </c>
      <c r="AM53" t="s">
        <v>188</v>
      </c>
      <c r="AN53" t="s">
        <v>189</v>
      </c>
      <c r="AO53" t="s">
        <v>6</v>
      </c>
      <c r="AP53" t="s">
        <v>9</v>
      </c>
      <c r="AQ53" t="s">
        <v>53</v>
      </c>
      <c r="AR53" t="s">
        <v>190</v>
      </c>
      <c r="AS53" t="s">
        <v>174</v>
      </c>
      <c r="AT53" t="s">
        <v>191</v>
      </c>
    </row>
    <row r="54" spans="1:46" ht="270" x14ac:dyDescent="0.25">
      <c r="A54" s="5">
        <v>46066.402430555558</v>
      </c>
      <c r="B54" t="s">
        <v>439</v>
      </c>
      <c r="C54" t="s">
        <v>173</v>
      </c>
      <c r="D54" t="s">
        <v>174</v>
      </c>
      <c r="E54" t="s">
        <v>210</v>
      </c>
      <c r="G54" t="s">
        <v>211</v>
      </c>
      <c r="H54" t="s">
        <v>175</v>
      </c>
      <c r="I54" t="s">
        <v>176</v>
      </c>
      <c r="J54" t="s">
        <v>5</v>
      </c>
      <c r="K54" t="s">
        <v>200</v>
      </c>
      <c r="L54" s="6" t="s">
        <v>440</v>
      </c>
      <c r="M54" t="s">
        <v>25</v>
      </c>
      <c r="N54" t="s">
        <v>441</v>
      </c>
      <c r="O54" t="s">
        <v>442</v>
      </c>
      <c r="P54" t="s">
        <v>443</v>
      </c>
      <c r="Q54">
        <v>17</v>
      </c>
      <c r="R54" t="s">
        <v>175</v>
      </c>
      <c r="S54" t="s">
        <v>176</v>
      </c>
      <c r="T54" t="s">
        <v>5</v>
      </c>
      <c r="U54" t="s">
        <v>200</v>
      </c>
      <c r="V54">
        <v>1</v>
      </c>
      <c r="W54" t="s">
        <v>216</v>
      </c>
      <c r="X54" t="s">
        <v>217</v>
      </c>
      <c r="Z54" t="s">
        <v>191</v>
      </c>
      <c r="AB54" t="s">
        <v>444</v>
      </c>
      <c r="AC54" t="s">
        <v>219</v>
      </c>
      <c r="AF54">
        <v>46056.791666666701</v>
      </c>
      <c r="AI54" t="s">
        <v>220</v>
      </c>
      <c r="AJ54" t="s">
        <v>186</v>
      </c>
      <c r="AK54" t="s">
        <v>221</v>
      </c>
      <c r="AL54" t="s">
        <v>221</v>
      </c>
      <c r="AM54" t="s">
        <v>208</v>
      </c>
      <c r="AN54" t="s">
        <v>189</v>
      </c>
      <c r="AO54" t="s">
        <v>51</v>
      </c>
      <c r="AP54" t="s">
        <v>54</v>
      </c>
      <c r="AQ54" t="s">
        <v>53</v>
      </c>
      <c r="AR54" t="s">
        <v>190</v>
      </c>
      <c r="AS54" t="s">
        <v>174</v>
      </c>
      <c r="AT54" t="s">
        <v>191</v>
      </c>
    </row>
    <row r="55" spans="1:46" ht="150" x14ac:dyDescent="0.25">
      <c r="A55" s="5">
        <v>46057.643553240741</v>
      </c>
      <c r="B55" t="s">
        <v>445</v>
      </c>
      <c r="C55" t="s">
        <v>173</v>
      </c>
      <c r="D55" t="s">
        <v>174</v>
      </c>
      <c r="E55" t="s">
        <v>325</v>
      </c>
      <c r="H55" t="s">
        <v>175</v>
      </c>
      <c r="I55" t="s">
        <v>176</v>
      </c>
      <c r="J55" t="s">
        <v>5</v>
      </c>
      <c r="K55" t="s">
        <v>177</v>
      </c>
      <c r="L55" s="6" t="s">
        <v>446</v>
      </c>
      <c r="M55" t="s">
        <v>36</v>
      </c>
      <c r="N55" t="s">
        <v>447</v>
      </c>
      <c r="O55" t="s">
        <v>448</v>
      </c>
      <c r="P55" t="s">
        <v>449</v>
      </c>
      <c r="Q55">
        <v>34</v>
      </c>
      <c r="R55" t="s">
        <v>175</v>
      </c>
      <c r="S55" t="s">
        <v>176</v>
      </c>
      <c r="T55" t="s">
        <v>5</v>
      </c>
      <c r="U55" t="s">
        <v>200</v>
      </c>
      <c r="V55">
        <v>8</v>
      </c>
      <c r="W55" t="s">
        <v>377</v>
      </c>
      <c r="X55" t="s">
        <v>450</v>
      </c>
      <c r="Z55" t="s">
        <v>191</v>
      </c>
      <c r="AB55" t="s">
        <v>451</v>
      </c>
      <c r="AF55">
        <v>46047.791666666701</v>
      </c>
      <c r="AI55" t="s">
        <v>220</v>
      </c>
      <c r="AJ55" t="s">
        <v>186</v>
      </c>
      <c r="AK55" t="s">
        <v>333</v>
      </c>
      <c r="AL55" t="s">
        <v>207</v>
      </c>
      <c r="AM55" t="s">
        <v>208</v>
      </c>
      <c r="AN55" t="s">
        <v>189</v>
      </c>
      <c r="AO55" t="s">
        <v>39</v>
      </c>
      <c r="AP55" t="s">
        <v>43</v>
      </c>
      <c r="AQ55" t="s">
        <v>53</v>
      </c>
      <c r="AR55" t="s">
        <v>190</v>
      </c>
      <c r="AS55" t="s">
        <v>174</v>
      </c>
      <c r="AT55" t="s">
        <v>191</v>
      </c>
    </row>
    <row r="56" spans="1:46" ht="105" x14ac:dyDescent="0.25">
      <c r="A56" s="5">
        <v>46072.509895833333</v>
      </c>
      <c r="B56" t="s">
        <v>452</v>
      </c>
      <c r="C56" t="s">
        <v>173</v>
      </c>
      <c r="D56" t="s">
        <v>174</v>
      </c>
      <c r="E56" t="s">
        <v>147</v>
      </c>
      <c r="H56" t="s">
        <v>175</v>
      </c>
      <c r="I56" t="s">
        <v>176</v>
      </c>
      <c r="J56" t="s">
        <v>5</v>
      </c>
      <c r="K56" t="s">
        <v>177</v>
      </c>
      <c r="L56" s="6" t="s">
        <v>453</v>
      </c>
      <c r="M56" t="s">
        <v>7</v>
      </c>
      <c r="N56" t="s">
        <v>454</v>
      </c>
      <c r="O56" t="s">
        <v>455</v>
      </c>
      <c r="P56" t="s">
        <v>456</v>
      </c>
      <c r="R56" t="s">
        <v>175</v>
      </c>
      <c r="S56" t="s">
        <v>176</v>
      </c>
      <c r="T56" t="s">
        <v>5</v>
      </c>
      <c r="U56" t="s">
        <v>177</v>
      </c>
      <c r="V56">
        <v>1</v>
      </c>
      <c r="W56" t="s">
        <v>182</v>
      </c>
      <c r="X56" t="s">
        <v>183</v>
      </c>
      <c r="Z56" t="s">
        <v>184</v>
      </c>
      <c r="AF56">
        <v>45999.791666666701</v>
      </c>
      <c r="AI56" t="s">
        <v>185</v>
      </c>
      <c r="AJ56" t="s">
        <v>186</v>
      </c>
      <c r="AK56" t="s">
        <v>187</v>
      </c>
      <c r="AL56" t="s">
        <v>187</v>
      </c>
      <c r="AM56" t="s">
        <v>188</v>
      </c>
      <c r="AN56" t="s">
        <v>189</v>
      </c>
      <c r="AO56" t="s">
        <v>6</v>
      </c>
      <c r="AP56" t="s">
        <v>9</v>
      </c>
      <c r="AQ56" t="s">
        <v>53</v>
      </c>
      <c r="AR56" t="s">
        <v>190</v>
      </c>
      <c r="AS56" t="s">
        <v>174</v>
      </c>
      <c r="AT56" t="s">
        <v>191</v>
      </c>
    </row>
    <row r="57" spans="1:46" ht="105" x14ac:dyDescent="0.25">
      <c r="A57" s="5">
        <v>46072.513958333337</v>
      </c>
      <c r="B57" t="s">
        <v>457</v>
      </c>
      <c r="C57" t="s">
        <v>173</v>
      </c>
      <c r="D57" t="s">
        <v>174</v>
      </c>
      <c r="E57" t="s">
        <v>147</v>
      </c>
      <c r="H57" t="s">
        <v>175</v>
      </c>
      <c r="I57" t="s">
        <v>176</v>
      </c>
      <c r="J57" t="s">
        <v>5</v>
      </c>
      <c r="K57" t="s">
        <v>177</v>
      </c>
      <c r="L57" s="6" t="s">
        <v>458</v>
      </c>
      <c r="M57" t="s">
        <v>7</v>
      </c>
      <c r="N57" t="s">
        <v>459</v>
      </c>
      <c r="O57" t="s">
        <v>460</v>
      </c>
      <c r="P57" t="s">
        <v>461</v>
      </c>
      <c r="R57" t="s">
        <v>175</v>
      </c>
      <c r="S57" t="s">
        <v>176</v>
      </c>
      <c r="T57" t="s">
        <v>5</v>
      </c>
      <c r="U57" t="s">
        <v>177</v>
      </c>
      <c r="V57">
        <v>1</v>
      </c>
      <c r="W57" t="s">
        <v>182</v>
      </c>
      <c r="X57" t="s">
        <v>183</v>
      </c>
      <c r="Z57" t="s">
        <v>184</v>
      </c>
      <c r="AF57">
        <v>46000.791666666701</v>
      </c>
      <c r="AI57" t="s">
        <v>185</v>
      </c>
      <c r="AJ57" t="s">
        <v>186</v>
      </c>
      <c r="AK57" t="s">
        <v>187</v>
      </c>
      <c r="AL57" t="s">
        <v>187</v>
      </c>
      <c r="AM57" t="s">
        <v>188</v>
      </c>
      <c r="AN57" t="s">
        <v>189</v>
      </c>
      <c r="AO57" t="s">
        <v>6</v>
      </c>
      <c r="AP57" t="s">
        <v>9</v>
      </c>
      <c r="AQ57" t="s">
        <v>53</v>
      </c>
      <c r="AR57" t="s">
        <v>190</v>
      </c>
      <c r="AS57" t="s">
        <v>174</v>
      </c>
      <c r="AT57" t="s">
        <v>191</v>
      </c>
    </row>
    <row r="58" spans="1:46" ht="330" x14ac:dyDescent="0.25">
      <c r="A58" s="5">
        <v>46080.5628125</v>
      </c>
      <c r="B58" t="s">
        <v>462</v>
      </c>
      <c r="C58" t="s">
        <v>173</v>
      </c>
      <c r="D58" t="s">
        <v>174</v>
      </c>
      <c r="E58" t="s">
        <v>325</v>
      </c>
      <c r="H58" t="s">
        <v>175</v>
      </c>
      <c r="I58" t="s">
        <v>176</v>
      </c>
      <c r="J58" t="s">
        <v>5</v>
      </c>
      <c r="K58" t="s">
        <v>200</v>
      </c>
      <c r="L58" s="6" t="s">
        <v>463</v>
      </c>
      <c r="M58" t="s">
        <v>126</v>
      </c>
      <c r="N58" t="s">
        <v>464</v>
      </c>
      <c r="O58" t="s">
        <v>465</v>
      </c>
      <c r="P58" t="s">
        <v>466</v>
      </c>
      <c r="R58" t="s">
        <v>175</v>
      </c>
      <c r="S58" t="s">
        <v>176</v>
      </c>
      <c r="T58" t="s">
        <v>8</v>
      </c>
      <c r="U58" t="s">
        <v>200</v>
      </c>
      <c r="V58">
        <v>2</v>
      </c>
      <c r="W58" t="s">
        <v>377</v>
      </c>
      <c r="X58" t="s">
        <v>450</v>
      </c>
      <c r="Z58" t="s">
        <v>191</v>
      </c>
      <c r="AB58" t="s">
        <v>467</v>
      </c>
      <c r="AF58">
        <v>45946.833333333299</v>
      </c>
      <c r="AI58" t="s">
        <v>220</v>
      </c>
      <c r="AJ58" t="s">
        <v>345</v>
      </c>
      <c r="AK58" t="s">
        <v>333</v>
      </c>
      <c r="AL58" t="s">
        <v>468</v>
      </c>
      <c r="AM58" t="s">
        <v>188</v>
      </c>
      <c r="AN58" t="s">
        <v>189</v>
      </c>
      <c r="AO58" t="s">
        <v>39</v>
      </c>
      <c r="AP58" t="s">
        <v>43</v>
      </c>
      <c r="AQ58" t="s">
        <v>53</v>
      </c>
      <c r="AR58" t="s">
        <v>190</v>
      </c>
      <c r="AS58" t="s">
        <v>174</v>
      </c>
      <c r="AT58" t="s">
        <v>191</v>
      </c>
    </row>
    <row r="59" spans="1:46" ht="225" x14ac:dyDescent="0.25">
      <c r="A59" s="5">
        <v>46057.376504629632</v>
      </c>
      <c r="B59" t="s">
        <v>469</v>
      </c>
      <c r="C59" t="s">
        <v>173</v>
      </c>
      <c r="D59" t="s">
        <v>174</v>
      </c>
      <c r="E59" t="s">
        <v>325</v>
      </c>
      <c r="H59" t="s">
        <v>175</v>
      </c>
      <c r="I59" t="s">
        <v>176</v>
      </c>
      <c r="J59" t="s">
        <v>5</v>
      </c>
      <c r="K59" t="s">
        <v>200</v>
      </c>
      <c r="L59" s="6" t="s">
        <v>470</v>
      </c>
      <c r="M59" t="s">
        <v>37</v>
      </c>
      <c r="N59" t="s">
        <v>471</v>
      </c>
      <c r="O59" t="s">
        <v>472</v>
      </c>
      <c r="P59" t="s">
        <v>473</v>
      </c>
      <c r="Q59">
        <v>1</v>
      </c>
      <c r="R59" t="s">
        <v>474</v>
      </c>
      <c r="S59" t="s">
        <v>475</v>
      </c>
      <c r="T59" t="s">
        <v>476</v>
      </c>
      <c r="U59" t="s">
        <v>200</v>
      </c>
      <c r="V59">
        <v>98</v>
      </c>
      <c r="W59" t="s">
        <v>477</v>
      </c>
      <c r="X59" t="s">
        <v>478</v>
      </c>
      <c r="Z59" t="s">
        <v>138</v>
      </c>
      <c r="AB59" t="s">
        <v>479</v>
      </c>
      <c r="AF59">
        <v>46019.791666666701</v>
      </c>
      <c r="AI59" t="s">
        <v>480</v>
      </c>
      <c r="AJ59" t="s">
        <v>186</v>
      </c>
      <c r="AK59" t="s">
        <v>333</v>
      </c>
      <c r="AL59" t="s">
        <v>481</v>
      </c>
      <c r="AM59" t="s">
        <v>188</v>
      </c>
      <c r="AN59" t="s">
        <v>189</v>
      </c>
      <c r="AO59" t="s">
        <v>45</v>
      </c>
      <c r="AP59" t="s">
        <v>45</v>
      </c>
      <c r="AQ59" t="s">
        <v>53</v>
      </c>
      <c r="AR59" t="s">
        <v>190</v>
      </c>
      <c r="AS59" t="s">
        <v>174</v>
      </c>
      <c r="AT59" t="s">
        <v>138</v>
      </c>
    </row>
    <row r="60" spans="1:46" ht="225" x14ac:dyDescent="0.25">
      <c r="A60" s="5">
        <v>46057.376504629632</v>
      </c>
      <c r="B60" t="s">
        <v>469</v>
      </c>
      <c r="C60" t="s">
        <v>173</v>
      </c>
      <c r="D60" t="s">
        <v>174</v>
      </c>
      <c r="E60" t="s">
        <v>325</v>
      </c>
      <c r="H60" t="s">
        <v>175</v>
      </c>
      <c r="I60" t="s">
        <v>176</v>
      </c>
      <c r="J60" t="s">
        <v>5</v>
      </c>
      <c r="K60" t="s">
        <v>200</v>
      </c>
      <c r="L60" s="6" t="s">
        <v>470</v>
      </c>
      <c r="M60" t="s">
        <v>37</v>
      </c>
      <c r="N60" t="s">
        <v>471</v>
      </c>
      <c r="O60" t="s">
        <v>472</v>
      </c>
      <c r="P60" t="s">
        <v>473</v>
      </c>
      <c r="Q60">
        <v>2</v>
      </c>
      <c r="R60" t="s">
        <v>175</v>
      </c>
      <c r="S60" t="s">
        <v>176</v>
      </c>
      <c r="T60" t="s">
        <v>5</v>
      </c>
      <c r="U60" t="s">
        <v>200</v>
      </c>
      <c r="V60">
        <v>511</v>
      </c>
      <c r="W60" t="s">
        <v>477</v>
      </c>
      <c r="X60" t="s">
        <v>478</v>
      </c>
      <c r="Z60" t="s">
        <v>138</v>
      </c>
      <c r="AB60" t="s">
        <v>482</v>
      </c>
      <c r="AF60">
        <v>46019.791666666701</v>
      </c>
      <c r="AI60" t="s">
        <v>480</v>
      </c>
      <c r="AJ60" t="s">
        <v>186</v>
      </c>
      <c r="AK60" t="s">
        <v>333</v>
      </c>
      <c r="AL60" t="s">
        <v>481</v>
      </c>
      <c r="AM60" t="s">
        <v>188</v>
      </c>
      <c r="AN60" t="s">
        <v>189</v>
      </c>
      <c r="AO60" t="s">
        <v>45</v>
      </c>
      <c r="AP60" t="s">
        <v>45</v>
      </c>
      <c r="AQ60" t="s">
        <v>53</v>
      </c>
      <c r="AR60" t="s">
        <v>190</v>
      </c>
      <c r="AS60" t="s">
        <v>174</v>
      </c>
      <c r="AT60" t="s">
        <v>138</v>
      </c>
    </row>
    <row r="61" spans="1:46" ht="225" x14ac:dyDescent="0.25">
      <c r="A61" s="5">
        <v>46057.376504629632</v>
      </c>
      <c r="B61" t="s">
        <v>469</v>
      </c>
      <c r="C61" t="s">
        <v>173</v>
      </c>
      <c r="D61" t="s">
        <v>174</v>
      </c>
      <c r="E61" t="s">
        <v>325</v>
      </c>
      <c r="H61" t="s">
        <v>175</v>
      </c>
      <c r="I61" t="s">
        <v>176</v>
      </c>
      <c r="J61" t="s">
        <v>5</v>
      </c>
      <c r="K61" t="s">
        <v>200</v>
      </c>
      <c r="L61" s="6" t="s">
        <v>470</v>
      </c>
      <c r="M61" t="s">
        <v>37</v>
      </c>
      <c r="N61" t="s">
        <v>471</v>
      </c>
      <c r="O61" t="s">
        <v>472</v>
      </c>
      <c r="P61" t="s">
        <v>473</v>
      </c>
      <c r="Q61">
        <v>3</v>
      </c>
      <c r="R61" t="s">
        <v>175</v>
      </c>
      <c r="S61" t="s">
        <v>176</v>
      </c>
      <c r="T61" t="s">
        <v>5</v>
      </c>
      <c r="U61" t="s">
        <v>200</v>
      </c>
      <c r="V61">
        <v>322</v>
      </c>
      <c r="W61" t="s">
        <v>477</v>
      </c>
      <c r="X61" t="s">
        <v>478</v>
      </c>
      <c r="Z61" t="s">
        <v>138</v>
      </c>
      <c r="AB61" t="s">
        <v>483</v>
      </c>
      <c r="AF61">
        <v>46019.791666666701</v>
      </c>
      <c r="AI61" t="s">
        <v>480</v>
      </c>
      <c r="AJ61" t="s">
        <v>186</v>
      </c>
      <c r="AK61" t="s">
        <v>333</v>
      </c>
      <c r="AL61" t="s">
        <v>481</v>
      </c>
      <c r="AM61" t="s">
        <v>188</v>
      </c>
      <c r="AN61" t="s">
        <v>189</v>
      </c>
      <c r="AO61" t="s">
        <v>45</v>
      </c>
      <c r="AP61" t="s">
        <v>45</v>
      </c>
      <c r="AQ61" t="s">
        <v>53</v>
      </c>
      <c r="AR61" t="s">
        <v>190</v>
      </c>
      <c r="AS61" t="s">
        <v>174</v>
      </c>
      <c r="AT61" t="s">
        <v>138</v>
      </c>
    </row>
    <row r="62" spans="1:46" ht="225" x14ac:dyDescent="0.25">
      <c r="A62" s="5">
        <v>46057.376504629632</v>
      </c>
      <c r="B62" t="s">
        <v>469</v>
      </c>
      <c r="C62" t="s">
        <v>173</v>
      </c>
      <c r="D62" t="s">
        <v>174</v>
      </c>
      <c r="E62" t="s">
        <v>325</v>
      </c>
      <c r="H62" t="s">
        <v>175</v>
      </c>
      <c r="I62" t="s">
        <v>176</v>
      </c>
      <c r="J62" t="s">
        <v>5</v>
      </c>
      <c r="K62" t="s">
        <v>200</v>
      </c>
      <c r="L62" s="6" t="s">
        <v>470</v>
      </c>
      <c r="M62" t="s">
        <v>37</v>
      </c>
      <c r="N62" t="s">
        <v>471</v>
      </c>
      <c r="O62" t="s">
        <v>472</v>
      </c>
      <c r="P62" t="s">
        <v>473</v>
      </c>
      <c r="Q62">
        <v>4</v>
      </c>
      <c r="R62" t="s">
        <v>175</v>
      </c>
      <c r="S62" t="s">
        <v>176</v>
      </c>
      <c r="T62" t="s">
        <v>5</v>
      </c>
      <c r="U62" t="s">
        <v>200</v>
      </c>
      <c r="V62">
        <v>182</v>
      </c>
      <c r="W62" t="s">
        <v>477</v>
      </c>
      <c r="X62" t="s">
        <v>478</v>
      </c>
      <c r="Z62" t="s">
        <v>138</v>
      </c>
      <c r="AB62" t="s">
        <v>484</v>
      </c>
      <c r="AF62">
        <v>46019.791666666701</v>
      </c>
      <c r="AI62" t="s">
        <v>480</v>
      </c>
      <c r="AJ62" t="s">
        <v>186</v>
      </c>
      <c r="AK62" t="s">
        <v>333</v>
      </c>
      <c r="AL62" t="s">
        <v>481</v>
      </c>
      <c r="AM62" t="s">
        <v>188</v>
      </c>
      <c r="AN62" t="s">
        <v>189</v>
      </c>
      <c r="AO62" t="s">
        <v>45</v>
      </c>
      <c r="AP62" t="s">
        <v>45</v>
      </c>
      <c r="AQ62" t="s">
        <v>53</v>
      </c>
      <c r="AR62" t="s">
        <v>190</v>
      </c>
      <c r="AS62" t="s">
        <v>174</v>
      </c>
      <c r="AT62" t="s">
        <v>138</v>
      </c>
    </row>
    <row r="63" spans="1:46" ht="225" x14ac:dyDescent="0.25">
      <c r="A63" s="5">
        <v>46057.376504629632</v>
      </c>
      <c r="B63" t="s">
        <v>469</v>
      </c>
      <c r="C63" t="s">
        <v>173</v>
      </c>
      <c r="D63" t="s">
        <v>174</v>
      </c>
      <c r="E63" t="s">
        <v>325</v>
      </c>
      <c r="H63" t="s">
        <v>175</v>
      </c>
      <c r="I63" t="s">
        <v>176</v>
      </c>
      <c r="J63" t="s">
        <v>5</v>
      </c>
      <c r="K63" t="s">
        <v>200</v>
      </c>
      <c r="L63" s="6" t="s">
        <v>470</v>
      </c>
      <c r="M63" t="s">
        <v>37</v>
      </c>
      <c r="N63" t="s">
        <v>471</v>
      </c>
      <c r="O63" t="s">
        <v>472</v>
      </c>
      <c r="P63" t="s">
        <v>473</v>
      </c>
      <c r="Q63">
        <v>5</v>
      </c>
      <c r="R63" t="s">
        <v>175</v>
      </c>
      <c r="S63" t="s">
        <v>176</v>
      </c>
      <c r="T63" t="s">
        <v>11</v>
      </c>
      <c r="U63" t="s">
        <v>200</v>
      </c>
      <c r="V63">
        <v>22</v>
      </c>
      <c r="W63" t="s">
        <v>477</v>
      </c>
      <c r="X63" t="s">
        <v>478</v>
      </c>
      <c r="Z63" t="s">
        <v>138</v>
      </c>
      <c r="AB63" t="s">
        <v>485</v>
      </c>
      <c r="AF63">
        <v>46019.791666666701</v>
      </c>
      <c r="AI63" t="s">
        <v>480</v>
      </c>
      <c r="AJ63" t="s">
        <v>186</v>
      </c>
      <c r="AK63" t="s">
        <v>333</v>
      </c>
      <c r="AL63" t="s">
        <v>481</v>
      </c>
      <c r="AM63" t="s">
        <v>188</v>
      </c>
      <c r="AN63" t="s">
        <v>189</v>
      </c>
      <c r="AO63" t="s">
        <v>45</v>
      </c>
      <c r="AP63" t="s">
        <v>45</v>
      </c>
      <c r="AQ63" t="s">
        <v>53</v>
      </c>
      <c r="AR63" t="s">
        <v>190</v>
      </c>
      <c r="AS63" t="s">
        <v>174</v>
      </c>
      <c r="AT63" t="s">
        <v>138</v>
      </c>
    </row>
    <row r="64" spans="1:46" ht="135" x14ac:dyDescent="0.25">
      <c r="A64" s="5">
        <v>46057.565717592595</v>
      </c>
      <c r="B64" t="s">
        <v>486</v>
      </c>
      <c r="C64" t="s">
        <v>173</v>
      </c>
      <c r="D64" t="s">
        <v>174</v>
      </c>
      <c r="E64" t="s">
        <v>147</v>
      </c>
      <c r="H64" t="s">
        <v>175</v>
      </c>
      <c r="I64" t="s">
        <v>176</v>
      </c>
      <c r="J64" t="s">
        <v>5</v>
      </c>
      <c r="K64" t="s">
        <v>200</v>
      </c>
      <c r="L64" s="6" t="s">
        <v>487</v>
      </c>
      <c r="M64" t="s">
        <v>88</v>
      </c>
      <c r="N64" t="s">
        <v>488</v>
      </c>
      <c r="O64" t="s">
        <v>489</v>
      </c>
      <c r="P64" t="s">
        <v>490</v>
      </c>
      <c r="R64" t="s">
        <v>175</v>
      </c>
      <c r="S64" t="s">
        <v>176</v>
      </c>
      <c r="T64" t="s">
        <v>5</v>
      </c>
      <c r="U64" t="s">
        <v>200</v>
      </c>
      <c r="V64">
        <v>1</v>
      </c>
      <c r="W64" t="s">
        <v>182</v>
      </c>
      <c r="X64" t="s">
        <v>183</v>
      </c>
      <c r="Z64" t="s">
        <v>184</v>
      </c>
      <c r="AB64" t="s">
        <v>491</v>
      </c>
      <c r="AF64">
        <v>46026.791666666701</v>
      </c>
      <c r="AI64" t="s">
        <v>220</v>
      </c>
      <c r="AJ64" t="s">
        <v>186</v>
      </c>
      <c r="AK64" t="s">
        <v>492</v>
      </c>
      <c r="AL64" t="s">
        <v>493</v>
      </c>
      <c r="AM64" t="s">
        <v>188</v>
      </c>
      <c r="AN64" t="s">
        <v>189</v>
      </c>
      <c r="AO64" t="s">
        <v>6</v>
      </c>
      <c r="AP64" t="s">
        <v>9</v>
      </c>
      <c r="AQ64" t="s">
        <v>53</v>
      </c>
      <c r="AR64" t="s">
        <v>190</v>
      </c>
      <c r="AS64" t="s">
        <v>174</v>
      </c>
      <c r="AT64" t="s">
        <v>191</v>
      </c>
    </row>
    <row r="65" spans="1:46" ht="105" x14ac:dyDescent="0.25">
      <c r="A65" s="5">
        <v>46078.63071759259</v>
      </c>
      <c r="B65" t="s">
        <v>494</v>
      </c>
      <c r="C65" t="s">
        <v>173</v>
      </c>
      <c r="D65" t="s">
        <v>174</v>
      </c>
      <c r="E65" t="s">
        <v>147</v>
      </c>
      <c r="H65" t="s">
        <v>175</v>
      </c>
      <c r="I65" t="s">
        <v>176</v>
      </c>
      <c r="J65" t="s">
        <v>5</v>
      </c>
      <c r="K65" t="s">
        <v>177</v>
      </c>
      <c r="L65" s="6" t="s">
        <v>495</v>
      </c>
      <c r="M65" t="s">
        <v>21</v>
      </c>
      <c r="N65" t="s">
        <v>496</v>
      </c>
      <c r="O65" t="s">
        <v>497</v>
      </c>
      <c r="P65" t="s">
        <v>498</v>
      </c>
      <c r="R65" t="s">
        <v>175</v>
      </c>
      <c r="S65" t="s">
        <v>176</v>
      </c>
      <c r="T65" t="s">
        <v>5</v>
      </c>
      <c r="U65" t="s">
        <v>177</v>
      </c>
      <c r="V65">
        <v>1</v>
      </c>
      <c r="W65" t="s">
        <v>182</v>
      </c>
      <c r="X65" t="s">
        <v>183</v>
      </c>
      <c r="Z65" t="s">
        <v>184</v>
      </c>
      <c r="AF65">
        <v>46013.791666666701</v>
      </c>
      <c r="AI65" t="s">
        <v>185</v>
      </c>
      <c r="AJ65" t="s">
        <v>186</v>
      </c>
      <c r="AK65" t="s">
        <v>187</v>
      </c>
      <c r="AL65" t="s">
        <v>187</v>
      </c>
      <c r="AM65" t="s">
        <v>188</v>
      </c>
      <c r="AN65" t="s">
        <v>189</v>
      </c>
      <c r="AO65" t="s">
        <v>6</v>
      </c>
      <c r="AP65" t="s">
        <v>9</v>
      </c>
      <c r="AQ65" t="s">
        <v>53</v>
      </c>
      <c r="AR65" t="s">
        <v>190</v>
      </c>
      <c r="AS65" t="s">
        <v>174</v>
      </c>
      <c r="AT65" t="s">
        <v>191</v>
      </c>
    </row>
    <row r="66" spans="1:46" ht="105" x14ac:dyDescent="0.25">
      <c r="A66" s="5">
        <v>46076.570914351854</v>
      </c>
      <c r="B66" t="s">
        <v>499</v>
      </c>
      <c r="C66" t="s">
        <v>173</v>
      </c>
      <c r="D66" t="s">
        <v>174</v>
      </c>
      <c r="E66" t="s">
        <v>147</v>
      </c>
      <c r="H66" t="s">
        <v>175</v>
      </c>
      <c r="I66" t="s">
        <v>176</v>
      </c>
      <c r="J66" t="s">
        <v>5</v>
      </c>
      <c r="K66" t="s">
        <v>177</v>
      </c>
      <c r="L66" s="6" t="s">
        <v>500</v>
      </c>
      <c r="M66" t="s">
        <v>7</v>
      </c>
      <c r="N66" t="s">
        <v>501</v>
      </c>
      <c r="O66" t="s">
        <v>502</v>
      </c>
      <c r="P66" t="s">
        <v>503</v>
      </c>
      <c r="R66" t="s">
        <v>175</v>
      </c>
      <c r="S66" t="s">
        <v>176</v>
      </c>
      <c r="T66" t="s">
        <v>5</v>
      </c>
      <c r="U66" t="s">
        <v>177</v>
      </c>
      <c r="V66">
        <v>1</v>
      </c>
      <c r="W66" t="s">
        <v>182</v>
      </c>
      <c r="X66" t="s">
        <v>183</v>
      </c>
      <c r="Z66" t="s">
        <v>184</v>
      </c>
      <c r="AF66">
        <v>45999.791666666701</v>
      </c>
      <c r="AI66" t="s">
        <v>185</v>
      </c>
      <c r="AJ66" t="s">
        <v>186</v>
      </c>
      <c r="AK66" t="s">
        <v>187</v>
      </c>
      <c r="AL66" t="s">
        <v>187</v>
      </c>
      <c r="AM66" t="s">
        <v>188</v>
      </c>
      <c r="AN66" t="s">
        <v>189</v>
      </c>
      <c r="AO66" t="s">
        <v>6</v>
      </c>
      <c r="AP66" t="s">
        <v>9</v>
      </c>
      <c r="AQ66" t="s">
        <v>53</v>
      </c>
      <c r="AR66" t="s">
        <v>190</v>
      </c>
      <c r="AS66" t="s">
        <v>174</v>
      </c>
      <c r="AT66" t="s">
        <v>191</v>
      </c>
    </row>
    <row r="67" spans="1:46" ht="105" x14ac:dyDescent="0.25">
      <c r="A67" s="5">
        <v>46076.576979166668</v>
      </c>
      <c r="B67" t="s">
        <v>504</v>
      </c>
      <c r="C67" t="s">
        <v>173</v>
      </c>
      <c r="D67" t="s">
        <v>174</v>
      </c>
      <c r="E67" t="s">
        <v>147</v>
      </c>
      <c r="H67" t="s">
        <v>175</v>
      </c>
      <c r="I67" t="s">
        <v>176</v>
      </c>
      <c r="J67" t="s">
        <v>5</v>
      </c>
      <c r="K67" t="s">
        <v>177</v>
      </c>
      <c r="L67" s="6" t="s">
        <v>505</v>
      </c>
      <c r="M67" t="s">
        <v>7</v>
      </c>
      <c r="N67" t="s">
        <v>506</v>
      </c>
      <c r="O67" t="s">
        <v>507</v>
      </c>
      <c r="P67" t="s">
        <v>508</v>
      </c>
      <c r="R67" t="s">
        <v>175</v>
      </c>
      <c r="S67" t="s">
        <v>176</v>
      </c>
      <c r="T67" t="s">
        <v>5</v>
      </c>
      <c r="U67" t="s">
        <v>177</v>
      </c>
      <c r="V67">
        <v>1</v>
      </c>
      <c r="W67" t="s">
        <v>182</v>
      </c>
      <c r="X67" t="s">
        <v>183</v>
      </c>
      <c r="Z67" t="s">
        <v>184</v>
      </c>
      <c r="AF67">
        <v>46000.791666666701</v>
      </c>
      <c r="AI67" t="s">
        <v>185</v>
      </c>
      <c r="AJ67" t="s">
        <v>186</v>
      </c>
      <c r="AK67" t="s">
        <v>187</v>
      </c>
      <c r="AL67" t="s">
        <v>187</v>
      </c>
      <c r="AM67" t="s">
        <v>188</v>
      </c>
      <c r="AN67" t="s">
        <v>189</v>
      </c>
      <c r="AO67" t="s">
        <v>6</v>
      </c>
      <c r="AP67" t="s">
        <v>9</v>
      </c>
      <c r="AQ67" t="s">
        <v>53</v>
      </c>
      <c r="AR67" t="s">
        <v>190</v>
      </c>
      <c r="AS67" t="s">
        <v>174</v>
      </c>
      <c r="AT67" t="s">
        <v>191</v>
      </c>
    </row>
    <row r="68" spans="1:46" ht="105" x14ac:dyDescent="0.25">
      <c r="A68" s="5">
        <v>46076.581967592596</v>
      </c>
      <c r="B68" t="s">
        <v>509</v>
      </c>
      <c r="C68" t="s">
        <v>173</v>
      </c>
      <c r="D68" t="s">
        <v>174</v>
      </c>
      <c r="E68" t="s">
        <v>147</v>
      </c>
      <c r="H68" t="s">
        <v>175</v>
      </c>
      <c r="I68" t="s">
        <v>176</v>
      </c>
      <c r="J68" t="s">
        <v>5</v>
      </c>
      <c r="K68" t="s">
        <v>177</v>
      </c>
      <c r="L68" s="6" t="s">
        <v>510</v>
      </c>
      <c r="M68" t="s">
        <v>7</v>
      </c>
      <c r="N68" t="s">
        <v>511</v>
      </c>
      <c r="O68" t="s">
        <v>512</v>
      </c>
      <c r="P68" t="s">
        <v>513</v>
      </c>
      <c r="R68" t="s">
        <v>175</v>
      </c>
      <c r="S68" t="s">
        <v>176</v>
      </c>
      <c r="T68" t="s">
        <v>5</v>
      </c>
      <c r="U68" t="s">
        <v>177</v>
      </c>
      <c r="V68">
        <v>1</v>
      </c>
      <c r="W68" t="s">
        <v>182</v>
      </c>
      <c r="X68" t="s">
        <v>183</v>
      </c>
      <c r="Z68" t="s">
        <v>184</v>
      </c>
      <c r="AF68">
        <v>45999.791666666701</v>
      </c>
      <c r="AI68" t="s">
        <v>185</v>
      </c>
      <c r="AJ68" t="s">
        <v>186</v>
      </c>
      <c r="AK68" t="s">
        <v>187</v>
      </c>
      <c r="AL68" t="s">
        <v>187</v>
      </c>
      <c r="AM68" t="s">
        <v>188</v>
      </c>
      <c r="AN68" t="s">
        <v>189</v>
      </c>
      <c r="AO68" t="s">
        <v>6</v>
      </c>
      <c r="AP68" t="s">
        <v>9</v>
      </c>
      <c r="AQ68" t="s">
        <v>53</v>
      </c>
      <c r="AR68" t="s">
        <v>190</v>
      </c>
      <c r="AS68" t="s">
        <v>174</v>
      </c>
      <c r="AT68" t="s">
        <v>191</v>
      </c>
    </row>
    <row r="69" spans="1:46" ht="105" x14ac:dyDescent="0.25">
      <c r="A69" s="5">
        <v>46076.586863425924</v>
      </c>
      <c r="B69" t="s">
        <v>514</v>
      </c>
      <c r="C69" t="s">
        <v>173</v>
      </c>
      <c r="D69" t="s">
        <v>174</v>
      </c>
      <c r="E69" t="s">
        <v>147</v>
      </c>
      <c r="H69" t="s">
        <v>175</v>
      </c>
      <c r="I69" t="s">
        <v>176</v>
      </c>
      <c r="J69" t="s">
        <v>5</v>
      </c>
      <c r="K69" t="s">
        <v>177</v>
      </c>
      <c r="L69" s="6" t="s">
        <v>515</v>
      </c>
      <c r="M69" t="s">
        <v>7</v>
      </c>
      <c r="N69" t="s">
        <v>516</v>
      </c>
      <c r="O69" t="s">
        <v>517</v>
      </c>
      <c r="P69" t="s">
        <v>518</v>
      </c>
      <c r="R69" t="s">
        <v>175</v>
      </c>
      <c r="S69" t="s">
        <v>176</v>
      </c>
      <c r="T69" t="s">
        <v>5</v>
      </c>
      <c r="U69" t="s">
        <v>177</v>
      </c>
      <c r="V69">
        <v>1</v>
      </c>
      <c r="W69" t="s">
        <v>182</v>
      </c>
      <c r="X69" t="s">
        <v>183</v>
      </c>
      <c r="Z69" t="s">
        <v>184</v>
      </c>
      <c r="AF69">
        <v>46007.791666666701</v>
      </c>
      <c r="AI69" t="s">
        <v>185</v>
      </c>
      <c r="AJ69" t="s">
        <v>186</v>
      </c>
      <c r="AK69" t="s">
        <v>187</v>
      </c>
      <c r="AL69" t="s">
        <v>187</v>
      </c>
      <c r="AM69" t="s">
        <v>188</v>
      </c>
      <c r="AN69" t="s">
        <v>189</v>
      </c>
      <c r="AO69" t="s">
        <v>6</v>
      </c>
      <c r="AP69" t="s">
        <v>9</v>
      </c>
      <c r="AQ69" t="s">
        <v>53</v>
      </c>
      <c r="AR69" t="s">
        <v>190</v>
      </c>
      <c r="AS69" t="s">
        <v>174</v>
      </c>
      <c r="AT69" t="s">
        <v>191</v>
      </c>
    </row>
    <row r="70" spans="1:46" ht="105" x14ac:dyDescent="0.25">
      <c r="A70" s="5">
        <v>46076.601701388892</v>
      </c>
      <c r="B70" t="s">
        <v>519</v>
      </c>
      <c r="C70" t="s">
        <v>173</v>
      </c>
      <c r="D70" t="s">
        <v>174</v>
      </c>
      <c r="E70" t="s">
        <v>147</v>
      </c>
      <c r="H70" t="s">
        <v>175</v>
      </c>
      <c r="I70" t="s">
        <v>176</v>
      </c>
      <c r="J70" t="s">
        <v>5</v>
      </c>
      <c r="K70" t="s">
        <v>177</v>
      </c>
      <c r="L70" s="6" t="s">
        <v>520</v>
      </c>
      <c r="M70" t="s">
        <v>7</v>
      </c>
      <c r="N70" t="s">
        <v>521</v>
      </c>
      <c r="O70" t="s">
        <v>522</v>
      </c>
      <c r="P70" t="s">
        <v>523</v>
      </c>
      <c r="R70" t="s">
        <v>175</v>
      </c>
      <c r="S70" t="s">
        <v>176</v>
      </c>
      <c r="T70" t="s">
        <v>5</v>
      </c>
      <c r="U70" t="s">
        <v>177</v>
      </c>
      <c r="V70">
        <v>1</v>
      </c>
      <c r="W70" t="s">
        <v>182</v>
      </c>
      <c r="X70" t="s">
        <v>183</v>
      </c>
      <c r="Z70" t="s">
        <v>184</v>
      </c>
      <c r="AF70">
        <v>45999.791666666701</v>
      </c>
      <c r="AI70" t="s">
        <v>185</v>
      </c>
      <c r="AJ70" t="s">
        <v>186</v>
      </c>
      <c r="AK70" t="s">
        <v>187</v>
      </c>
      <c r="AL70" t="s">
        <v>187</v>
      </c>
      <c r="AM70" t="s">
        <v>188</v>
      </c>
      <c r="AN70" t="s">
        <v>189</v>
      </c>
      <c r="AO70" t="s">
        <v>6</v>
      </c>
      <c r="AP70" t="s">
        <v>9</v>
      </c>
      <c r="AQ70" t="s">
        <v>53</v>
      </c>
      <c r="AR70" t="s">
        <v>190</v>
      </c>
      <c r="AS70" t="s">
        <v>174</v>
      </c>
      <c r="AT70" t="s">
        <v>191</v>
      </c>
    </row>
    <row r="71" spans="1:46" ht="105" x14ac:dyDescent="0.25">
      <c r="A71" s="5">
        <v>46070.670173611114</v>
      </c>
      <c r="B71" t="s">
        <v>524</v>
      </c>
      <c r="C71" t="s">
        <v>173</v>
      </c>
      <c r="D71" t="s">
        <v>174</v>
      </c>
      <c r="E71" t="s">
        <v>147</v>
      </c>
      <c r="H71" t="s">
        <v>175</v>
      </c>
      <c r="I71" t="s">
        <v>176</v>
      </c>
      <c r="J71" t="s">
        <v>5</v>
      </c>
      <c r="K71" t="s">
        <v>177</v>
      </c>
      <c r="L71" s="6" t="s">
        <v>525</v>
      </c>
      <c r="M71" t="s">
        <v>7</v>
      </c>
      <c r="N71" t="s">
        <v>526</v>
      </c>
      <c r="O71" t="s">
        <v>527</v>
      </c>
      <c r="P71" t="s">
        <v>528</v>
      </c>
      <c r="R71" t="s">
        <v>175</v>
      </c>
      <c r="S71" t="s">
        <v>176</v>
      </c>
      <c r="T71" t="s">
        <v>5</v>
      </c>
      <c r="U71" t="s">
        <v>177</v>
      </c>
      <c r="V71">
        <v>1</v>
      </c>
      <c r="W71" t="s">
        <v>182</v>
      </c>
      <c r="X71" t="s">
        <v>183</v>
      </c>
      <c r="Z71" t="s">
        <v>184</v>
      </c>
      <c r="AF71">
        <v>46007.791666666701</v>
      </c>
      <c r="AI71" t="s">
        <v>185</v>
      </c>
      <c r="AJ71" t="s">
        <v>186</v>
      </c>
      <c r="AK71" t="s">
        <v>187</v>
      </c>
      <c r="AL71" t="s">
        <v>187</v>
      </c>
      <c r="AM71" t="s">
        <v>188</v>
      </c>
      <c r="AN71" t="s">
        <v>189</v>
      </c>
      <c r="AO71" t="s">
        <v>6</v>
      </c>
      <c r="AP71" t="s">
        <v>9</v>
      </c>
      <c r="AQ71" t="s">
        <v>53</v>
      </c>
      <c r="AR71" t="s">
        <v>190</v>
      </c>
      <c r="AS71" t="s">
        <v>174</v>
      </c>
      <c r="AT71" t="s">
        <v>191</v>
      </c>
    </row>
    <row r="72" spans="1:46" ht="105" x14ac:dyDescent="0.25">
      <c r="A72" s="5">
        <v>46070.665277777778</v>
      </c>
      <c r="B72" t="s">
        <v>529</v>
      </c>
      <c r="C72" t="s">
        <v>173</v>
      </c>
      <c r="D72" t="s">
        <v>174</v>
      </c>
      <c r="E72" t="s">
        <v>147</v>
      </c>
      <c r="H72" t="s">
        <v>175</v>
      </c>
      <c r="I72" t="s">
        <v>176</v>
      </c>
      <c r="J72" t="s">
        <v>5</v>
      </c>
      <c r="K72" t="s">
        <v>177</v>
      </c>
      <c r="L72" s="6" t="s">
        <v>530</v>
      </c>
      <c r="M72" t="s">
        <v>7</v>
      </c>
      <c r="N72" t="s">
        <v>531</v>
      </c>
      <c r="O72" t="s">
        <v>532</v>
      </c>
      <c r="P72" t="s">
        <v>533</v>
      </c>
      <c r="R72" t="s">
        <v>175</v>
      </c>
      <c r="S72" t="s">
        <v>176</v>
      </c>
      <c r="T72" t="s">
        <v>5</v>
      </c>
      <c r="U72" t="s">
        <v>177</v>
      </c>
      <c r="V72">
        <v>1</v>
      </c>
      <c r="W72" t="s">
        <v>182</v>
      </c>
      <c r="X72" t="s">
        <v>183</v>
      </c>
      <c r="Z72" t="s">
        <v>184</v>
      </c>
      <c r="AF72">
        <v>46002.791666666701</v>
      </c>
      <c r="AI72" t="s">
        <v>185</v>
      </c>
      <c r="AJ72" t="s">
        <v>186</v>
      </c>
      <c r="AK72" t="s">
        <v>187</v>
      </c>
      <c r="AL72" t="s">
        <v>187</v>
      </c>
      <c r="AM72" t="s">
        <v>188</v>
      </c>
      <c r="AN72" t="s">
        <v>189</v>
      </c>
      <c r="AO72" t="s">
        <v>6</v>
      </c>
      <c r="AP72" t="s">
        <v>9</v>
      </c>
      <c r="AQ72" t="s">
        <v>53</v>
      </c>
      <c r="AR72" t="s">
        <v>190</v>
      </c>
      <c r="AS72" t="s">
        <v>174</v>
      </c>
      <c r="AT72" t="s">
        <v>191</v>
      </c>
    </row>
    <row r="73" spans="1:46" ht="105" x14ac:dyDescent="0.25">
      <c r="A73" s="5">
        <v>46070.661400462966</v>
      </c>
      <c r="B73" t="s">
        <v>534</v>
      </c>
      <c r="C73" t="s">
        <v>173</v>
      </c>
      <c r="D73" t="s">
        <v>174</v>
      </c>
      <c r="E73" t="s">
        <v>147</v>
      </c>
      <c r="H73" t="s">
        <v>175</v>
      </c>
      <c r="I73" t="s">
        <v>176</v>
      </c>
      <c r="J73" t="s">
        <v>5</v>
      </c>
      <c r="K73" t="s">
        <v>177</v>
      </c>
      <c r="L73" s="6" t="s">
        <v>535</v>
      </c>
      <c r="M73" t="s">
        <v>7</v>
      </c>
      <c r="N73" t="s">
        <v>536</v>
      </c>
      <c r="O73" t="s">
        <v>537</v>
      </c>
      <c r="P73" t="s">
        <v>538</v>
      </c>
      <c r="R73" t="s">
        <v>175</v>
      </c>
      <c r="S73" t="s">
        <v>176</v>
      </c>
      <c r="T73" t="s">
        <v>5</v>
      </c>
      <c r="U73" t="s">
        <v>177</v>
      </c>
      <c r="V73">
        <v>1</v>
      </c>
      <c r="W73" t="s">
        <v>182</v>
      </c>
      <c r="X73" t="s">
        <v>183</v>
      </c>
      <c r="Z73" t="s">
        <v>184</v>
      </c>
      <c r="AF73">
        <v>45999.791666666701</v>
      </c>
      <c r="AI73" t="s">
        <v>185</v>
      </c>
      <c r="AJ73" t="s">
        <v>186</v>
      </c>
      <c r="AK73" t="s">
        <v>187</v>
      </c>
      <c r="AL73" t="s">
        <v>187</v>
      </c>
      <c r="AM73" t="s">
        <v>188</v>
      </c>
      <c r="AN73" t="s">
        <v>189</v>
      </c>
      <c r="AO73" t="s">
        <v>6</v>
      </c>
      <c r="AP73" t="s">
        <v>9</v>
      </c>
      <c r="AQ73" t="s">
        <v>53</v>
      </c>
      <c r="AR73" t="s">
        <v>190</v>
      </c>
      <c r="AS73" t="s">
        <v>174</v>
      </c>
      <c r="AT73" t="s">
        <v>191</v>
      </c>
    </row>
    <row r="74" spans="1:46" ht="105" x14ac:dyDescent="0.25">
      <c r="A74" s="5">
        <v>46070.656990740739</v>
      </c>
      <c r="B74" t="s">
        <v>539</v>
      </c>
      <c r="C74" t="s">
        <v>173</v>
      </c>
      <c r="D74" t="s">
        <v>174</v>
      </c>
      <c r="E74" t="s">
        <v>147</v>
      </c>
      <c r="H74" t="s">
        <v>175</v>
      </c>
      <c r="I74" t="s">
        <v>176</v>
      </c>
      <c r="J74" t="s">
        <v>5</v>
      </c>
      <c r="K74" t="s">
        <v>177</v>
      </c>
      <c r="L74" s="6" t="s">
        <v>540</v>
      </c>
      <c r="M74" t="s">
        <v>7</v>
      </c>
      <c r="N74" t="s">
        <v>541</v>
      </c>
      <c r="O74" t="s">
        <v>542</v>
      </c>
      <c r="P74" t="s">
        <v>543</v>
      </c>
      <c r="R74" t="s">
        <v>175</v>
      </c>
      <c r="S74" t="s">
        <v>176</v>
      </c>
      <c r="T74" t="s">
        <v>5</v>
      </c>
      <c r="U74" t="s">
        <v>177</v>
      </c>
      <c r="V74">
        <v>1</v>
      </c>
      <c r="W74" t="s">
        <v>182</v>
      </c>
      <c r="X74" t="s">
        <v>183</v>
      </c>
      <c r="Z74" t="s">
        <v>184</v>
      </c>
      <c r="AF74">
        <v>45998.791666666701</v>
      </c>
      <c r="AI74" t="s">
        <v>185</v>
      </c>
      <c r="AJ74" t="s">
        <v>186</v>
      </c>
      <c r="AK74" t="s">
        <v>187</v>
      </c>
      <c r="AL74" t="s">
        <v>187</v>
      </c>
      <c r="AM74" t="s">
        <v>188</v>
      </c>
      <c r="AN74" t="s">
        <v>189</v>
      </c>
      <c r="AO74" t="s">
        <v>6</v>
      </c>
      <c r="AP74" t="s">
        <v>9</v>
      </c>
      <c r="AQ74" t="s">
        <v>53</v>
      </c>
      <c r="AR74" t="s">
        <v>190</v>
      </c>
      <c r="AS74" t="s">
        <v>174</v>
      </c>
      <c r="AT74" t="s">
        <v>191</v>
      </c>
    </row>
    <row r="75" spans="1:46" ht="105" x14ac:dyDescent="0.25">
      <c r="A75" s="5">
        <v>46070.652719907404</v>
      </c>
      <c r="B75" t="s">
        <v>544</v>
      </c>
      <c r="C75" t="s">
        <v>173</v>
      </c>
      <c r="D75" t="s">
        <v>174</v>
      </c>
      <c r="E75" t="s">
        <v>147</v>
      </c>
      <c r="H75" t="s">
        <v>175</v>
      </c>
      <c r="I75" t="s">
        <v>176</v>
      </c>
      <c r="J75" t="s">
        <v>5</v>
      </c>
      <c r="K75" t="s">
        <v>177</v>
      </c>
      <c r="L75" s="6" t="s">
        <v>545</v>
      </c>
      <c r="M75" t="s">
        <v>7</v>
      </c>
      <c r="N75" t="s">
        <v>546</v>
      </c>
      <c r="O75" t="s">
        <v>547</v>
      </c>
      <c r="P75" t="s">
        <v>548</v>
      </c>
      <c r="R75" t="s">
        <v>175</v>
      </c>
      <c r="S75" t="s">
        <v>176</v>
      </c>
      <c r="T75" t="s">
        <v>5</v>
      </c>
      <c r="U75" t="s">
        <v>177</v>
      </c>
      <c r="V75">
        <v>1</v>
      </c>
      <c r="W75" t="s">
        <v>182</v>
      </c>
      <c r="X75" t="s">
        <v>183</v>
      </c>
      <c r="Z75" t="s">
        <v>184</v>
      </c>
      <c r="AF75">
        <v>45998.791666666701</v>
      </c>
      <c r="AI75" t="s">
        <v>185</v>
      </c>
      <c r="AJ75" t="s">
        <v>186</v>
      </c>
      <c r="AK75" t="s">
        <v>187</v>
      </c>
      <c r="AL75" t="s">
        <v>187</v>
      </c>
      <c r="AM75" t="s">
        <v>188</v>
      </c>
      <c r="AN75" t="s">
        <v>189</v>
      </c>
      <c r="AO75" t="s">
        <v>6</v>
      </c>
      <c r="AP75" t="s">
        <v>9</v>
      </c>
      <c r="AQ75" t="s">
        <v>53</v>
      </c>
      <c r="AR75" t="s">
        <v>190</v>
      </c>
      <c r="AS75" t="s">
        <v>174</v>
      </c>
      <c r="AT75" t="s">
        <v>191</v>
      </c>
    </row>
    <row r="76" spans="1:46" ht="105" x14ac:dyDescent="0.25">
      <c r="A76" s="5">
        <v>46070.644560185188</v>
      </c>
      <c r="B76" t="s">
        <v>549</v>
      </c>
      <c r="C76" t="s">
        <v>173</v>
      </c>
      <c r="D76" t="s">
        <v>174</v>
      </c>
      <c r="E76" t="s">
        <v>147</v>
      </c>
      <c r="H76" t="s">
        <v>175</v>
      </c>
      <c r="I76" t="s">
        <v>176</v>
      </c>
      <c r="J76" t="s">
        <v>5</v>
      </c>
      <c r="K76" t="s">
        <v>177</v>
      </c>
      <c r="L76" s="6" t="s">
        <v>550</v>
      </c>
      <c r="M76" t="s">
        <v>7</v>
      </c>
      <c r="N76" t="s">
        <v>551</v>
      </c>
      <c r="O76" t="s">
        <v>552</v>
      </c>
      <c r="P76" t="s">
        <v>553</v>
      </c>
      <c r="R76" t="s">
        <v>175</v>
      </c>
      <c r="S76" t="s">
        <v>176</v>
      </c>
      <c r="T76" t="s">
        <v>5</v>
      </c>
      <c r="U76" t="s">
        <v>177</v>
      </c>
      <c r="V76">
        <v>1</v>
      </c>
      <c r="W76" t="s">
        <v>182</v>
      </c>
      <c r="X76" t="s">
        <v>183</v>
      </c>
      <c r="Z76" t="s">
        <v>184</v>
      </c>
      <c r="AF76">
        <v>45995.791666666701</v>
      </c>
      <c r="AI76" t="s">
        <v>185</v>
      </c>
      <c r="AJ76" t="s">
        <v>186</v>
      </c>
      <c r="AK76" t="s">
        <v>187</v>
      </c>
      <c r="AL76" t="s">
        <v>187</v>
      </c>
      <c r="AM76" t="s">
        <v>188</v>
      </c>
      <c r="AN76" t="s">
        <v>189</v>
      </c>
      <c r="AO76" t="s">
        <v>6</v>
      </c>
      <c r="AP76" t="s">
        <v>9</v>
      </c>
      <c r="AQ76" t="s">
        <v>53</v>
      </c>
      <c r="AR76" t="s">
        <v>190</v>
      </c>
      <c r="AS76" t="s">
        <v>174</v>
      </c>
      <c r="AT76" t="s">
        <v>191</v>
      </c>
    </row>
    <row r="77" spans="1:46" ht="105" x14ac:dyDescent="0.25">
      <c r="A77" s="5">
        <v>46070.640567129631</v>
      </c>
      <c r="B77" t="s">
        <v>554</v>
      </c>
      <c r="C77" t="s">
        <v>173</v>
      </c>
      <c r="D77" t="s">
        <v>174</v>
      </c>
      <c r="E77" t="s">
        <v>147</v>
      </c>
      <c r="H77" t="s">
        <v>175</v>
      </c>
      <c r="I77" t="s">
        <v>176</v>
      </c>
      <c r="J77" t="s">
        <v>5</v>
      </c>
      <c r="K77" t="s">
        <v>177</v>
      </c>
      <c r="L77" s="6" t="s">
        <v>555</v>
      </c>
      <c r="M77" t="s">
        <v>7</v>
      </c>
      <c r="N77" t="s">
        <v>556</v>
      </c>
      <c r="O77" t="s">
        <v>557</v>
      </c>
      <c r="P77" t="s">
        <v>558</v>
      </c>
      <c r="R77" t="s">
        <v>175</v>
      </c>
      <c r="S77" t="s">
        <v>176</v>
      </c>
      <c r="T77" t="s">
        <v>5</v>
      </c>
      <c r="U77" t="s">
        <v>177</v>
      </c>
      <c r="V77">
        <v>1</v>
      </c>
      <c r="W77" t="s">
        <v>182</v>
      </c>
      <c r="X77" t="s">
        <v>183</v>
      </c>
      <c r="Z77" t="s">
        <v>184</v>
      </c>
      <c r="AF77">
        <v>45993.791666666701</v>
      </c>
      <c r="AI77" t="s">
        <v>185</v>
      </c>
      <c r="AJ77" t="s">
        <v>186</v>
      </c>
      <c r="AK77" t="s">
        <v>187</v>
      </c>
      <c r="AL77" t="s">
        <v>187</v>
      </c>
      <c r="AM77" t="s">
        <v>188</v>
      </c>
      <c r="AN77" t="s">
        <v>189</v>
      </c>
      <c r="AO77" t="s">
        <v>6</v>
      </c>
      <c r="AP77" t="s">
        <v>9</v>
      </c>
      <c r="AQ77" t="s">
        <v>53</v>
      </c>
      <c r="AR77" t="s">
        <v>190</v>
      </c>
      <c r="AS77" t="s">
        <v>174</v>
      </c>
      <c r="AT77" t="s">
        <v>191</v>
      </c>
    </row>
    <row r="78" spans="1:46" ht="105" x14ac:dyDescent="0.25">
      <c r="A78" s="5">
        <v>46070.636400462965</v>
      </c>
      <c r="B78" t="s">
        <v>559</v>
      </c>
      <c r="C78" t="s">
        <v>173</v>
      </c>
      <c r="D78" t="s">
        <v>174</v>
      </c>
      <c r="E78" t="s">
        <v>147</v>
      </c>
      <c r="H78" t="s">
        <v>175</v>
      </c>
      <c r="I78" t="s">
        <v>176</v>
      </c>
      <c r="J78" t="s">
        <v>5</v>
      </c>
      <c r="K78" t="s">
        <v>177</v>
      </c>
      <c r="L78" s="6" t="s">
        <v>560</v>
      </c>
      <c r="M78" t="s">
        <v>7</v>
      </c>
      <c r="N78" t="s">
        <v>561</v>
      </c>
      <c r="O78" t="s">
        <v>562</v>
      </c>
      <c r="P78" t="s">
        <v>563</v>
      </c>
      <c r="R78" t="s">
        <v>175</v>
      </c>
      <c r="S78" t="s">
        <v>176</v>
      </c>
      <c r="T78" t="s">
        <v>5</v>
      </c>
      <c r="U78" t="s">
        <v>177</v>
      </c>
      <c r="V78">
        <v>1</v>
      </c>
      <c r="W78" t="s">
        <v>182</v>
      </c>
      <c r="X78" t="s">
        <v>183</v>
      </c>
      <c r="Z78" t="s">
        <v>184</v>
      </c>
      <c r="AF78">
        <v>45992.791666666701</v>
      </c>
      <c r="AI78" t="s">
        <v>185</v>
      </c>
      <c r="AJ78" t="s">
        <v>186</v>
      </c>
      <c r="AK78" t="s">
        <v>187</v>
      </c>
      <c r="AL78" t="s">
        <v>187</v>
      </c>
      <c r="AM78" t="s">
        <v>188</v>
      </c>
      <c r="AN78" t="s">
        <v>189</v>
      </c>
      <c r="AO78" t="s">
        <v>6</v>
      </c>
      <c r="AP78" t="s">
        <v>9</v>
      </c>
      <c r="AQ78" t="s">
        <v>53</v>
      </c>
      <c r="AR78" t="s">
        <v>190</v>
      </c>
      <c r="AS78" t="s">
        <v>174</v>
      </c>
      <c r="AT78" t="s">
        <v>191</v>
      </c>
    </row>
    <row r="79" spans="1:46" ht="105" x14ac:dyDescent="0.25">
      <c r="A79" s="5">
        <v>46070.629884259259</v>
      </c>
      <c r="B79" t="s">
        <v>564</v>
      </c>
      <c r="C79" t="s">
        <v>173</v>
      </c>
      <c r="D79" t="s">
        <v>174</v>
      </c>
      <c r="E79" t="s">
        <v>147</v>
      </c>
      <c r="H79" t="s">
        <v>175</v>
      </c>
      <c r="I79" t="s">
        <v>176</v>
      </c>
      <c r="J79" t="s">
        <v>5</v>
      </c>
      <c r="K79" t="s">
        <v>177</v>
      </c>
      <c r="L79" s="6" t="s">
        <v>565</v>
      </c>
      <c r="M79" t="s">
        <v>7</v>
      </c>
      <c r="N79" t="s">
        <v>566</v>
      </c>
      <c r="O79" t="s">
        <v>567</v>
      </c>
      <c r="P79" t="s">
        <v>568</v>
      </c>
      <c r="R79" t="s">
        <v>175</v>
      </c>
      <c r="S79" t="s">
        <v>176</v>
      </c>
      <c r="T79" t="s">
        <v>5</v>
      </c>
      <c r="U79" t="s">
        <v>177</v>
      </c>
      <c r="V79">
        <v>1</v>
      </c>
      <c r="W79" t="s">
        <v>182</v>
      </c>
      <c r="X79" t="s">
        <v>183</v>
      </c>
      <c r="Z79" t="s">
        <v>184</v>
      </c>
      <c r="AF79">
        <v>45992.791666666701</v>
      </c>
      <c r="AI79" t="s">
        <v>185</v>
      </c>
      <c r="AJ79" t="s">
        <v>186</v>
      </c>
      <c r="AK79" t="s">
        <v>187</v>
      </c>
      <c r="AL79" t="s">
        <v>187</v>
      </c>
      <c r="AM79" t="s">
        <v>188</v>
      </c>
      <c r="AN79" t="s">
        <v>189</v>
      </c>
      <c r="AO79" t="s">
        <v>6</v>
      </c>
      <c r="AP79" t="s">
        <v>9</v>
      </c>
      <c r="AQ79" t="s">
        <v>53</v>
      </c>
      <c r="AR79" t="s">
        <v>190</v>
      </c>
      <c r="AS79" t="s">
        <v>174</v>
      </c>
      <c r="AT79" t="s">
        <v>191</v>
      </c>
    </row>
    <row r="80" spans="1:46" ht="105" x14ac:dyDescent="0.25">
      <c r="A80" s="5">
        <v>46070.625543981485</v>
      </c>
      <c r="B80" t="s">
        <v>569</v>
      </c>
      <c r="C80" t="s">
        <v>173</v>
      </c>
      <c r="D80" t="s">
        <v>174</v>
      </c>
      <c r="E80" t="s">
        <v>147</v>
      </c>
      <c r="H80" t="s">
        <v>175</v>
      </c>
      <c r="I80" t="s">
        <v>176</v>
      </c>
      <c r="J80" t="s">
        <v>5</v>
      </c>
      <c r="K80" t="s">
        <v>177</v>
      </c>
      <c r="L80" s="6" t="s">
        <v>570</v>
      </c>
      <c r="M80" t="s">
        <v>7</v>
      </c>
      <c r="N80" t="s">
        <v>571</v>
      </c>
      <c r="O80" t="s">
        <v>572</v>
      </c>
      <c r="P80" t="s">
        <v>573</v>
      </c>
      <c r="R80" t="s">
        <v>175</v>
      </c>
      <c r="S80" t="s">
        <v>176</v>
      </c>
      <c r="T80" t="s">
        <v>5</v>
      </c>
      <c r="U80" t="s">
        <v>177</v>
      </c>
      <c r="V80">
        <v>1</v>
      </c>
      <c r="W80" t="s">
        <v>182</v>
      </c>
      <c r="X80" t="s">
        <v>183</v>
      </c>
      <c r="Z80" t="s">
        <v>184</v>
      </c>
      <c r="AF80">
        <v>45991.791666666701</v>
      </c>
      <c r="AI80" t="s">
        <v>185</v>
      </c>
      <c r="AJ80" t="s">
        <v>186</v>
      </c>
      <c r="AK80" t="s">
        <v>187</v>
      </c>
      <c r="AL80" t="s">
        <v>187</v>
      </c>
      <c r="AM80" t="s">
        <v>188</v>
      </c>
      <c r="AN80" t="s">
        <v>189</v>
      </c>
      <c r="AO80" t="s">
        <v>6</v>
      </c>
      <c r="AP80" t="s">
        <v>9</v>
      </c>
      <c r="AQ80" t="s">
        <v>53</v>
      </c>
      <c r="AR80" t="s">
        <v>190</v>
      </c>
      <c r="AS80" t="s">
        <v>174</v>
      </c>
      <c r="AT80" t="s">
        <v>191</v>
      </c>
    </row>
    <row r="81" spans="1:46" ht="105" x14ac:dyDescent="0.25">
      <c r="A81" s="5">
        <v>46070.620358796295</v>
      </c>
      <c r="B81" t="s">
        <v>574</v>
      </c>
      <c r="C81" t="s">
        <v>173</v>
      </c>
      <c r="D81" t="s">
        <v>174</v>
      </c>
      <c r="E81" t="s">
        <v>147</v>
      </c>
      <c r="H81" t="s">
        <v>175</v>
      </c>
      <c r="I81" t="s">
        <v>176</v>
      </c>
      <c r="J81" t="s">
        <v>5</v>
      </c>
      <c r="K81" t="s">
        <v>177</v>
      </c>
      <c r="L81" s="6" t="s">
        <v>575</v>
      </c>
      <c r="M81" t="s">
        <v>7</v>
      </c>
      <c r="N81" t="s">
        <v>576</v>
      </c>
      <c r="O81" t="s">
        <v>577</v>
      </c>
      <c r="P81" t="s">
        <v>578</v>
      </c>
      <c r="R81" t="s">
        <v>175</v>
      </c>
      <c r="S81" t="s">
        <v>176</v>
      </c>
      <c r="T81" t="s">
        <v>5</v>
      </c>
      <c r="U81" t="s">
        <v>177</v>
      </c>
      <c r="V81">
        <v>1</v>
      </c>
      <c r="W81" t="s">
        <v>182</v>
      </c>
      <c r="X81" t="s">
        <v>183</v>
      </c>
      <c r="Z81" t="s">
        <v>184</v>
      </c>
      <c r="AF81">
        <v>45985.791666666701</v>
      </c>
      <c r="AI81" t="s">
        <v>185</v>
      </c>
      <c r="AJ81" t="s">
        <v>186</v>
      </c>
      <c r="AK81" t="s">
        <v>187</v>
      </c>
      <c r="AL81" t="s">
        <v>187</v>
      </c>
      <c r="AM81" t="s">
        <v>188</v>
      </c>
      <c r="AN81" t="s">
        <v>189</v>
      </c>
      <c r="AO81" t="s">
        <v>6</v>
      </c>
      <c r="AP81" t="s">
        <v>9</v>
      </c>
      <c r="AQ81" t="s">
        <v>53</v>
      </c>
      <c r="AR81" t="s">
        <v>190</v>
      </c>
      <c r="AS81" t="s">
        <v>174</v>
      </c>
      <c r="AT81" t="s">
        <v>191</v>
      </c>
    </row>
    <row r="82" spans="1:46" ht="105" x14ac:dyDescent="0.25">
      <c r="A82" s="5">
        <v>46070.609351851854</v>
      </c>
      <c r="B82" t="s">
        <v>579</v>
      </c>
      <c r="C82" t="s">
        <v>173</v>
      </c>
      <c r="D82" t="s">
        <v>174</v>
      </c>
      <c r="E82" t="s">
        <v>147</v>
      </c>
      <c r="H82" t="s">
        <v>175</v>
      </c>
      <c r="I82" t="s">
        <v>176</v>
      </c>
      <c r="J82" t="s">
        <v>5</v>
      </c>
      <c r="K82" t="s">
        <v>177</v>
      </c>
      <c r="L82" s="6" t="s">
        <v>580</v>
      </c>
      <c r="M82" t="s">
        <v>7</v>
      </c>
      <c r="N82" t="s">
        <v>581</v>
      </c>
      <c r="O82" t="s">
        <v>582</v>
      </c>
      <c r="P82" t="s">
        <v>583</v>
      </c>
      <c r="R82" t="s">
        <v>175</v>
      </c>
      <c r="S82" t="s">
        <v>176</v>
      </c>
      <c r="T82" t="s">
        <v>5</v>
      </c>
      <c r="U82" t="s">
        <v>177</v>
      </c>
      <c r="V82">
        <v>1</v>
      </c>
      <c r="W82" t="s">
        <v>182</v>
      </c>
      <c r="X82" t="s">
        <v>183</v>
      </c>
      <c r="Z82" t="s">
        <v>184</v>
      </c>
      <c r="AF82">
        <v>45988.791666666701</v>
      </c>
      <c r="AI82" t="s">
        <v>185</v>
      </c>
      <c r="AJ82" t="s">
        <v>186</v>
      </c>
      <c r="AK82" t="s">
        <v>187</v>
      </c>
      <c r="AL82" t="s">
        <v>187</v>
      </c>
      <c r="AM82" t="s">
        <v>188</v>
      </c>
      <c r="AN82" t="s">
        <v>189</v>
      </c>
      <c r="AO82" t="s">
        <v>6</v>
      </c>
      <c r="AP82" t="s">
        <v>9</v>
      </c>
      <c r="AQ82" t="s">
        <v>53</v>
      </c>
      <c r="AR82" t="s">
        <v>190</v>
      </c>
      <c r="AS82" t="s">
        <v>174</v>
      </c>
      <c r="AT82" t="s">
        <v>191</v>
      </c>
    </row>
    <row r="83" spans="1:46" ht="105" x14ac:dyDescent="0.25">
      <c r="A83" s="5">
        <v>46070.604513888888</v>
      </c>
      <c r="B83" t="s">
        <v>584</v>
      </c>
      <c r="C83" t="s">
        <v>173</v>
      </c>
      <c r="D83" t="s">
        <v>174</v>
      </c>
      <c r="E83" t="s">
        <v>147</v>
      </c>
      <c r="H83" t="s">
        <v>175</v>
      </c>
      <c r="I83" t="s">
        <v>176</v>
      </c>
      <c r="J83" t="s">
        <v>5</v>
      </c>
      <c r="K83" t="s">
        <v>177</v>
      </c>
      <c r="L83" s="6" t="s">
        <v>585</v>
      </c>
      <c r="M83" t="s">
        <v>7</v>
      </c>
      <c r="N83" t="s">
        <v>586</v>
      </c>
      <c r="O83" t="s">
        <v>587</v>
      </c>
      <c r="P83" t="s">
        <v>588</v>
      </c>
      <c r="R83" t="s">
        <v>175</v>
      </c>
      <c r="S83" t="s">
        <v>176</v>
      </c>
      <c r="T83" t="s">
        <v>5</v>
      </c>
      <c r="U83" t="s">
        <v>177</v>
      </c>
      <c r="V83">
        <v>1</v>
      </c>
      <c r="W83" t="s">
        <v>182</v>
      </c>
      <c r="X83" t="s">
        <v>183</v>
      </c>
      <c r="Z83" t="s">
        <v>184</v>
      </c>
      <c r="AF83">
        <v>45986.791666666701</v>
      </c>
      <c r="AI83" t="s">
        <v>185</v>
      </c>
      <c r="AJ83" t="s">
        <v>186</v>
      </c>
      <c r="AK83" t="s">
        <v>187</v>
      </c>
      <c r="AL83" t="s">
        <v>187</v>
      </c>
      <c r="AM83" t="s">
        <v>188</v>
      </c>
      <c r="AN83" t="s">
        <v>189</v>
      </c>
      <c r="AO83" t="s">
        <v>6</v>
      </c>
      <c r="AP83" t="s">
        <v>9</v>
      </c>
      <c r="AQ83" t="s">
        <v>53</v>
      </c>
      <c r="AR83" t="s">
        <v>190</v>
      </c>
      <c r="AS83" t="s">
        <v>174</v>
      </c>
      <c r="AT83" t="s">
        <v>191</v>
      </c>
    </row>
    <row r="84" spans="1:46" ht="105" x14ac:dyDescent="0.25">
      <c r="A84" s="5">
        <v>46070.599490740744</v>
      </c>
      <c r="B84" t="s">
        <v>589</v>
      </c>
      <c r="C84" t="s">
        <v>173</v>
      </c>
      <c r="D84" t="s">
        <v>174</v>
      </c>
      <c r="E84" t="s">
        <v>147</v>
      </c>
      <c r="H84" t="s">
        <v>175</v>
      </c>
      <c r="I84" t="s">
        <v>176</v>
      </c>
      <c r="J84" t="s">
        <v>5</v>
      </c>
      <c r="K84" t="s">
        <v>177</v>
      </c>
      <c r="L84" s="6" t="s">
        <v>590</v>
      </c>
      <c r="M84" t="s">
        <v>7</v>
      </c>
      <c r="N84" t="s">
        <v>591</v>
      </c>
      <c r="O84" t="s">
        <v>592</v>
      </c>
      <c r="P84" t="s">
        <v>593</v>
      </c>
      <c r="R84" t="s">
        <v>175</v>
      </c>
      <c r="S84" t="s">
        <v>176</v>
      </c>
      <c r="T84" t="s">
        <v>5</v>
      </c>
      <c r="U84" t="s">
        <v>177</v>
      </c>
      <c r="V84">
        <v>1</v>
      </c>
      <c r="W84" t="s">
        <v>182</v>
      </c>
      <c r="X84" t="s">
        <v>183</v>
      </c>
      <c r="Z84" t="s">
        <v>184</v>
      </c>
      <c r="AF84">
        <v>45994.791666666701</v>
      </c>
      <c r="AI84" t="s">
        <v>185</v>
      </c>
      <c r="AJ84" t="s">
        <v>186</v>
      </c>
      <c r="AK84" t="s">
        <v>187</v>
      </c>
      <c r="AL84" t="s">
        <v>187</v>
      </c>
      <c r="AM84" t="s">
        <v>188</v>
      </c>
      <c r="AN84" t="s">
        <v>189</v>
      </c>
      <c r="AO84" t="s">
        <v>6</v>
      </c>
      <c r="AP84" t="s">
        <v>9</v>
      </c>
      <c r="AQ84" t="s">
        <v>53</v>
      </c>
      <c r="AR84" t="s">
        <v>190</v>
      </c>
      <c r="AS84" t="s">
        <v>174</v>
      </c>
      <c r="AT84" t="s">
        <v>191</v>
      </c>
    </row>
    <row r="85" spans="1:46" ht="105" x14ac:dyDescent="0.25">
      <c r="A85" s="5">
        <v>46070.594884259262</v>
      </c>
      <c r="B85" t="s">
        <v>594</v>
      </c>
      <c r="C85" t="s">
        <v>173</v>
      </c>
      <c r="D85" t="s">
        <v>174</v>
      </c>
      <c r="E85" t="s">
        <v>147</v>
      </c>
      <c r="H85" t="s">
        <v>175</v>
      </c>
      <c r="I85" t="s">
        <v>176</v>
      </c>
      <c r="J85" t="s">
        <v>5</v>
      </c>
      <c r="K85" t="s">
        <v>177</v>
      </c>
      <c r="L85" s="6" t="s">
        <v>595</v>
      </c>
      <c r="M85" t="s">
        <v>7</v>
      </c>
      <c r="N85" t="s">
        <v>596</v>
      </c>
      <c r="O85" t="s">
        <v>597</v>
      </c>
      <c r="P85" t="s">
        <v>598</v>
      </c>
      <c r="R85" t="s">
        <v>175</v>
      </c>
      <c r="S85" t="s">
        <v>176</v>
      </c>
      <c r="T85" t="s">
        <v>5</v>
      </c>
      <c r="U85" t="s">
        <v>177</v>
      </c>
      <c r="V85">
        <v>1</v>
      </c>
      <c r="W85" t="s">
        <v>182</v>
      </c>
      <c r="X85" t="s">
        <v>183</v>
      </c>
      <c r="Z85" t="s">
        <v>184</v>
      </c>
      <c r="AF85">
        <v>45994.791666666701</v>
      </c>
      <c r="AI85" t="s">
        <v>185</v>
      </c>
      <c r="AJ85" t="s">
        <v>186</v>
      </c>
      <c r="AK85" t="s">
        <v>187</v>
      </c>
      <c r="AL85" t="s">
        <v>187</v>
      </c>
      <c r="AM85" t="s">
        <v>188</v>
      </c>
      <c r="AN85" t="s">
        <v>189</v>
      </c>
      <c r="AO85" t="s">
        <v>6</v>
      </c>
      <c r="AP85" t="s">
        <v>9</v>
      </c>
      <c r="AQ85" t="s">
        <v>53</v>
      </c>
      <c r="AR85" t="s">
        <v>190</v>
      </c>
      <c r="AS85" t="s">
        <v>174</v>
      </c>
      <c r="AT85" t="s">
        <v>191</v>
      </c>
    </row>
    <row r="86" spans="1:46" ht="105" x14ac:dyDescent="0.25">
      <c r="A86" s="5">
        <v>46070.589745370373</v>
      </c>
      <c r="B86" t="s">
        <v>599</v>
      </c>
      <c r="C86" t="s">
        <v>173</v>
      </c>
      <c r="D86" t="s">
        <v>174</v>
      </c>
      <c r="E86" t="s">
        <v>147</v>
      </c>
      <c r="H86" t="s">
        <v>175</v>
      </c>
      <c r="I86" t="s">
        <v>176</v>
      </c>
      <c r="J86" t="s">
        <v>5</v>
      </c>
      <c r="K86" t="s">
        <v>177</v>
      </c>
      <c r="L86" s="6" t="s">
        <v>600</v>
      </c>
      <c r="M86" t="s">
        <v>7</v>
      </c>
      <c r="N86" t="s">
        <v>601</v>
      </c>
      <c r="O86" t="s">
        <v>602</v>
      </c>
      <c r="P86" t="s">
        <v>603</v>
      </c>
      <c r="R86" t="s">
        <v>175</v>
      </c>
      <c r="S86" t="s">
        <v>176</v>
      </c>
      <c r="T86" t="s">
        <v>5</v>
      </c>
      <c r="U86" t="s">
        <v>177</v>
      </c>
      <c r="V86">
        <v>1</v>
      </c>
      <c r="W86" t="s">
        <v>182</v>
      </c>
      <c r="X86" t="s">
        <v>183</v>
      </c>
      <c r="Z86" t="s">
        <v>184</v>
      </c>
      <c r="AF86">
        <v>45986.791666666701</v>
      </c>
      <c r="AI86" t="s">
        <v>185</v>
      </c>
      <c r="AJ86" t="s">
        <v>186</v>
      </c>
      <c r="AK86" t="s">
        <v>187</v>
      </c>
      <c r="AL86" t="s">
        <v>187</v>
      </c>
      <c r="AM86" t="s">
        <v>188</v>
      </c>
      <c r="AN86" t="s">
        <v>189</v>
      </c>
      <c r="AO86" t="s">
        <v>6</v>
      </c>
      <c r="AP86" t="s">
        <v>9</v>
      </c>
      <c r="AQ86" t="s">
        <v>53</v>
      </c>
      <c r="AR86" t="s">
        <v>190</v>
      </c>
      <c r="AS86" t="s">
        <v>174</v>
      </c>
      <c r="AT86" t="s">
        <v>191</v>
      </c>
    </row>
    <row r="87" spans="1:46" ht="105" x14ac:dyDescent="0.25">
      <c r="A87" s="5">
        <v>46070.584803240738</v>
      </c>
      <c r="B87" t="s">
        <v>604</v>
      </c>
      <c r="C87" t="s">
        <v>173</v>
      </c>
      <c r="D87" t="s">
        <v>174</v>
      </c>
      <c r="E87" t="s">
        <v>147</v>
      </c>
      <c r="H87" t="s">
        <v>175</v>
      </c>
      <c r="I87" t="s">
        <v>176</v>
      </c>
      <c r="J87" t="s">
        <v>5</v>
      </c>
      <c r="K87" t="s">
        <v>177</v>
      </c>
      <c r="L87" s="6" t="s">
        <v>605</v>
      </c>
      <c r="M87" t="s">
        <v>7</v>
      </c>
      <c r="N87" t="s">
        <v>606</v>
      </c>
      <c r="O87" t="s">
        <v>607</v>
      </c>
      <c r="P87" t="s">
        <v>608</v>
      </c>
      <c r="R87" t="s">
        <v>175</v>
      </c>
      <c r="S87" t="s">
        <v>176</v>
      </c>
      <c r="T87" t="s">
        <v>5</v>
      </c>
      <c r="U87" t="s">
        <v>177</v>
      </c>
      <c r="V87">
        <v>1</v>
      </c>
      <c r="W87" t="s">
        <v>182</v>
      </c>
      <c r="X87" t="s">
        <v>183</v>
      </c>
      <c r="Z87" t="s">
        <v>184</v>
      </c>
      <c r="AF87">
        <v>45986.791666666701</v>
      </c>
      <c r="AI87" t="s">
        <v>185</v>
      </c>
      <c r="AJ87" t="s">
        <v>186</v>
      </c>
      <c r="AK87" t="s">
        <v>187</v>
      </c>
      <c r="AL87" t="s">
        <v>187</v>
      </c>
      <c r="AM87" t="s">
        <v>188</v>
      </c>
      <c r="AN87" t="s">
        <v>189</v>
      </c>
      <c r="AO87" t="s">
        <v>6</v>
      </c>
      <c r="AP87" t="s">
        <v>9</v>
      </c>
      <c r="AQ87" t="s">
        <v>53</v>
      </c>
      <c r="AR87" t="s">
        <v>190</v>
      </c>
      <c r="AS87" t="s">
        <v>174</v>
      </c>
      <c r="AT87" t="s">
        <v>191</v>
      </c>
    </row>
    <row r="88" spans="1:46" ht="105" x14ac:dyDescent="0.25">
      <c r="A88" s="5">
        <v>46070.578958333332</v>
      </c>
      <c r="B88" t="s">
        <v>609</v>
      </c>
      <c r="C88" t="s">
        <v>173</v>
      </c>
      <c r="D88" t="s">
        <v>174</v>
      </c>
      <c r="E88" t="s">
        <v>147</v>
      </c>
      <c r="H88" t="s">
        <v>175</v>
      </c>
      <c r="I88" t="s">
        <v>176</v>
      </c>
      <c r="J88" t="s">
        <v>5</v>
      </c>
      <c r="K88" t="s">
        <v>177</v>
      </c>
      <c r="L88" s="6" t="s">
        <v>610</v>
      </c>
      <c r="M88" t="s">
        <v>7</v>
      </c>
      <c r="N88" t="s">
        <v>611</v>
      </c>
      <c r="O88" t="s">
        <v>612</v>
      </c>
      <c r="P88" t="s">
        <v>613</v>
      </c>
      <c r="R88" t="s">
        <v>175</v>
      </c>
      <c r="S88" t="s">
        <v>176</v>
      </c>
      <c r="T88" t="s">
        <v>5</v>
      </c>
      <c r="U88" t="s">
        <v>177</v>
      </c>
      <c r="V88">
        <v>1</v>
      </c>
      <c r="W88" t="s">
        <v>182</v>
      </c>
      <c r="X88" t="s">
        <v>183</v>
      </c>
      <c r="Z88" t="s">
        <v>184</v>
      </c>
      <c r="AF88">
        <v>45980.791666666701</v>
      </c>
      <c r="AI88" t="s">
        <v>185</v>
      </c>
      <c r="AJ88" t="s">
        <v>186</v>
      </c>
      <c r="AK88" t="s">
        <v>187</v>
      </c>
      <c r="AL88" t="s">
        <v>187</v>
      </c>
      <c r="AM88" t="s">
        <v>188</v>
      </c>
      <c r="AN88" t="s">
        <v>189</v>
      </c>
      <c r="AO88" t="s">
        <v>6</v>
      </c>
      <c r="AP88" t="s">
        <v>9</v>
      </c>
      <c r="AQ88" t="s">
        <v>53</v>
      </c>
      <c r="AR88" t="s">
        <v>190</v>
      </c>
      <c r="AS88" t="s">
        <v>174</v>
      </c>
      <c r="AT88" t="s">
        <v>191</v>
      </c>
    </row>
    <row r="89" spans="1:46" ht="105" x14ac:dyDescent="0.25">
      <c r="A89" s="5">
        <v>46076.606828703705</v>
      </c>
      <c r="B89" t="s">
        <v>614</v>
      </c>
      <c r="C89" t="s">
        <v>173</v>
      </c>
      <c r="D89" t="s">
        <v>174</v>
      </c>
      <c r="E89" t="s">
        <v>147</v>
      </c>
      <c r="H89" t="s">
        <v>175</v>
      </c>
      <c r="I89" t="s">
        <v>176</v>
      </c>
      <c r="J89" t="s">
        <v>5</v>
      </c>
      <c r="K89" t="s">
        <v>177</v>
      </c>
      <c r="L89" s="6" t="s">
        <v>615</v>
      </c>
      <c r="M89" t="s">
        <v>7</v>
      </c>
      <c r="N89" t="s">
        <v>616</v>
      </c>
      <c r="O89" t="s">
        <v>617</v>
      </c>
      <c r="P89" t="s">
        <v>618</v>
      </c>
      <c r="R89" t="s">
        <v>175</v>
      </c>
      <c r="S89" t="s">
        <v>176</v>
      </c>
      <c r="T89" t="s">
        <v>5</v>
      </c>
      <c r="U89" t="s">
        <v>177</v>
      </c>
      <c r="V89">
        <v>1</v>
      </c>
      <c r="W89" t="s">
        <v>182</v>
      </c>
      <c r="X89" t="s">
        <v>183</v>
      </c>
      <c r="Z89" t="s">
        <v>184</v>
      </c>
      <c r="AF89">
        <v>45999.791666666701</v>
      </c>
      <c r="AI89" t="s">
        <v>185</v>
      </c>
      <c r="AJ89" t="s">
        <v>186</v>
      </c>
      <c r="AK89" t="s">
        <v>187</v>
      </c>
      <c r="AL89" t="s">
        <v>187</v>
      </c>
      <c r="AM89" t="s">
        <v>188</v>
      </c>
      <c r="AN89" t="s">
        <v>189</v>
      </c>
      <c r="AO89" t="s">
        <v>6</v>
      </c>
      <c r="AP89" t="s">
        <v>9</v>
      </c>
      <c r="AQ89" t="s">
        <v>53</v>
      </c>
      <c r="AR89" t="s">
        <v>190</v>
      </c>
      <c r="AS89" t="s">
        <v>174</v>
      </c>
      <c r="AT89" t="s">
        <v>191</v>
      </c>
    </row>
    <row r="90" spans="1:46" ht="105" x14ac:dyDescent="0.25">
      <c r="A90" s="5">
        <v>46076.61146990741</v>
      </c>
      <c r="B90" t="s">
        <v>619</v>
      </c>
      <c r="C90" t="s">
        <v>173</v>
      </c>
      <c r="D90" t="s">
        <v>174</v>
      </c>
      <c r="E90" t="s">
        <v>147</v>
      </c>
      <c r="H90" t="s">
        <v>175</v>
      </c>
      <c r="I90" t="s">
        <v>176</v>
      </c>
      <c r="J90" t="s">
        <v>5</v>
      </c>
      <c r="K90" t="s">
        <v>177</v>
      </c>
      <c r="L90" s="6" t="s">
        <v>268</v>
      </c>
      <c r="M90" t="s">
        <v>7</v>
      </c>
      <c r="N90" t="s">
        <v>531</v>
      </c>
      <c r="O90" t="s">
        <v>620</v>
      </c>
      <c r="P90" t="s">
        <v>621</v>
      </c>
      <c r="R90" t="s">
        <v>175</v>
      </c>
      <c r="S90" t="s">
        <v>176</v>
      </c>
      <c r="T90" t="s">
        <v>5</v>
      </c>
      <c r="U90" t="s">
        <v>177</v>
      </c>
      <c r="V90">
        <v>1</v>
      </c>
      <c r="W90" t="s">
        <v>182</v>
      </c>
      <c r="X90" t="s">
        <v>183</v>
      </c>
      <c r="Z90" t="s">
        <v>184</v>
      </c>
      <c r="AF90">
        <v>46002.791666666701</v>
      </c>
      <c r="AI90" t="s">
        <v>185</v>
      </c>
      <c r="AJ90" t="s">
        <v>186</v>
      </c>
      <c r="AK90" t="s">
        <v>187</v>
      </c>
      <c r="AL90" t="s">
        <v>187</v>
      </c>
      <c r="AM90" t="s">
        <v>188</v>
      </c>
      <c r="AN90" t="s">
        <v>189</v>
      </c>
      <c r="AO90" t="s">
        <v>6</v>
      </c>
      <c r="AP90" t="s">
        <v>9</v>
      </c>
      <c r="AQ90" t="s">
        <v>53</v>
      </c>
      <c r="AR90" t="s">
        <v>190</v>
      </c>
      <c r="AS90" t="s">
        <v>174</v>
      </c>
      <c r="AT90" t="s">
        <v>191</v>
      </c>
    </row>
    <row r="91" spans="1:46" ht="210" x14ac:dyDescent="0.25">
      <c r="A91" s="5">
        <v>46066.708854166667</v>
      </c>
      <c r="B91" t="s">
        <v>622</v>
      </c>
      <c r="C91" t="s">
        <v>173</v>
      </c>
      <c r="D91" t="s">
        <v>174</v>
      </c>
      <c r="E91" t="s">
        <v>325</v>
      </c>
      <c r="H91" t="s">
        <v>175</v>
      </c>
      <c r="I91" t="s">
        <v>176</v>
      </c>
      <c r="J91" t="s">
        <v>5</v>
      </c>
      <c r="K91" t="s">
        <v>200</v>
      </c>
      <c r="L91" s="6" t="s">
        <v>623</v>
      </c>
      <c r="M91" t="s">
        <v>114</v>
      </c>
      <c r="N91" t="s">
        <v>624</v>
      </c>
      <c r="O91" t="s">
        <v>625</v>
      </c>
      <c r="P91" t="s">
        <v>626</v>
      </c>
      <c r="Q91">
        <v>2</v>
      </c>
      <c r="R91" t="s">
        <v>175</v>
      </c>
      <c r="S91" t="s">
        <v>176</v>
      </c>
      <c r="T91" t="s">
        <v>5</v>
      </c>
      <c r="U91" t="s">
        <v>200</v>
      </c>
      <c r="V91">
        <v>1</v>
      </c>
      <c r="W91" t="s">
        <v>330</v>
      </c>
      <c r="X91" t="s">
        <v>627</v>
      </c>
      <c r="Z91" t="s">
        <v>191</v>
      </c>
      <c r="AF91">
        <v>46033.791666666701</v>
      </c>
      <c r="AI91" t="s">
        <v>220</v>
      </c>
      <c r="AJ91" t="s">
        <v>186</v>
      </c>
      <c r="AK91" t="s">
        <v>346</v>
      </c>
      <c r="AL91" t="s">
        <v>493</v>
      </c>
      <c r="AM91" t="s">
        <v>188</v>
      </c>
      <c r="AN91" t="s">
        <v>189</v>
      </c>
      <c r="AO91" t="s">
        <v>26</v>
      </c>
      <c r="AP91" t="s">
        <v>29</v>
      </c>
      <c r="AQ91" t="s">
        <v>53</v>
      </c>
      <c r="AR91" t="s">
        <v>190</v>
      </c>
      <c r="AS91" t="s">
        <v>174</v>
      </c>
      <c r="AT91" t="s">
        <v>191</v>
      </c>
    </row>
    <row r="92" spans="1:46" ht="105" x14ac:dyDescent="0.25">
      <c r="A92" s="5">
        <v>46076.615960648145</v>
      </c>
      <c r="B92" t="s">
        <v>628</v>
      </c>
      <c r="C92" t="s">
        <v>173</v>
      </c>
      <c r="D92" t="s">
        <v>174</v>
      </c>
      <c r="E92" t="s">
        <v>147</v>
      </c>
      <c r="H92" t="s">
        <v>175</v>
      </c>
      <c r="I92" t="s">
        <v>176</v>
      </c>
      <c r="J92" t="s">
        <v>5</v>
      </c>
      <c r="K92" t="s">
        <v>177</v>
      </c>
      <c r="L92" s="6" t="s">
        <v>629</v>
      </c>
      <c r="M92" t="s">
        <v>7</v>
      </c>
      <c r="N92" t="s">
        <v>630</v>
      </c>
      <c r="O92" t="s">
        <v>631</v>
      </c>
      <c r="P92" t="s">
        <v>632</v>
      </c>
      <c r="R92" t="s">
        <v>175</v>
      </c>
      <c r="S92" t="s">
        <v>176</v>
      </c>
      <c r="T92" t="s">
        <v>5</v>
      </c>
      <c r="U92" t="s">
        <v>177</v>
      </c>
      <c r="V92">
        <v>1</v>
      </c>
      <c r="W92" t="s">
        <v>182</v>
      </c>
      <c r="X92" t="s">
        <v>183</v>
      </c>
      <c r="Z92" t="s">
        <v>184</v>
      </c>
      <c r="AF92">
        <v>46005.791666666701</v>
      </c>
      <c r="AI92" t="s">
        <v>185</v>
      </c>
      <c r="AJ92" t="s">
        <v>186</v>
      </c>
      <c r="AK92" t="s">
        <v>187</v>
      </c>
      <c r="AL92" t="s">
        <v>187</v>
      </c>
      <c r="AM92" t="s">
        <v>188</v>
      </c>
      <c r="AN92" t="s">
        <v>189</v>
      </c>
      <c r="AO92" t="s">
        <v>6</v>
      </c>
      <c r="AP92" t="s">
        <v>9</v>
      </c>
      <c r="AQ92" t="s">
        <v>53</v>
      </c>
      <c r="AR92" t="s">
        <v>190</v>
      </c>
      <c r="AS92" t="s">
        <v>174</v>
      </c>
      <c r="AT92" t="s">
        <v>191</v>
      </c>
    </row>
    <row r="93" spans="1:46" ht="75" x14ac:dyDescent="0.25">
      <c r="A93" s="5">
        <v>46065.431990740741</v>
      </c>
      <c r="B93" t="s">
        <v>633</v>
      </c>
      <c r="C93" t="s">
        <v>173</v>
      </c>
      <c r="D93" t="s">
        <v>174</v>
      </c>
      <c r="E93" t="s">
        <v>210</v>
      </c>
      <c r="G93" t="s">
        <v>211</v>
      </c>
      <c r="H93" t="s">
        <v>175</v>
      </c>
      <c r="I93" t="s">
        <v>176</v>
      </c>
      <c r="J93" t="s">
        <v>5</v>
      </c>
      <c r="K93" t="s">
        <v>200</v>
      </c>
      <c r="L93" s="6" t="s">
        <v>634</v>
      </c>
      <c r="M93" t="s">
        <v>57</v>
      </c>
      <c r="N93" t="s">
        <v>635</v>
      </c>
      <c r="O93" t="s">
        <v>636</v>
      </c>
      <c r="Q93">
        <v>2</v>
      </c>
      <c r="R93" t="s">
        <v>175</v>
      </c>
      <c r="S93" t="s">
        <v>176</v>
      </c>
      <c r="T93" t="s">
        <v>5</v>
      </c>
      <c r="U93" t="s">
        <v>200</v>
      </c>
      <c r="V93">
        <v>1</v>
      </c>
      <c r="W93" t="s">
        <v>397</v>
      </c>
      <c r="X93" t="s">
        <v>637</v>
      </c>
      <c r="Z93" t="s">
        <v>191</v>
      </c>
      <c r="AB93" t="s">
        <v>638</v>
      </c>
      <c r="AC93" t="s">
        <v>639</v>
      </c>
      <c r="AF93">
        <v>46050.791666666701</v>
      </c>
      <c r="AI93" t="s">
        <v>220</v>
      </c>
      <c r="AJ93" t="s">
        <v>186</v>
      </c>
      <c r="AK93" t="s">
        <v>640</v>
      </c>
      <c r="AL93" t="s">
        <v>640</v>
      </c>
      <c r="AM93" t="s">
        <v>641</v>
      </c>
      <c r="AN93" t="s">
        <v>189</v>
      </c>
      <c r="AO93" t="s">
        <v>27</v>
      </c>
      <c r="AP93" t="s">
        <v>30</v>
      </c>
      <c r="AQ93" t="s">
        <v>53</v>
      </c>
      <c r="AR93" t="s">
        <v>190</v>
      </c>
      <c r="AS93" t="s">
        <v>174</v>
      </c>
      <c r="AT93" t="s">
        <v>191</v>
      </c>
    </row>
    <row r="94" spans="1:46" ht="75" x14ac:dyDescent="0.25">
      <c r="A94" s="5">
        <v>46065.431990740741</v>
      </c>
      <c r="B94" t="s">
        <v>633</v>
      </c>
      <c r="C94" t="s">
        <v>173</v>
      </c>
      <c r="D94" t="s">
        <v>174</v>
      </c>
      <c r="E94" t="s">
        <v>210</v>
      </c>
      <c r="G94" t="s">
        <v>211</v>
      </c>
      <c r="H94" t="s">
        <v>175</v>
      </c>
      <c r="I94" t="s">
        <v>176</v>
      </c>
      <c r="J94" t="s">
        <v>5</v>
      </c>
      <c r="K94" t="s">
        <v>200</v>
      </c>
      <c r="L94" s="6" t="s">
        <v>634</v>
      </c>
      <c r="M94" t="s">
        <v>57</v>
      </c>
      <c r="N94" t="s">
        <v>635</v>
      </c>
      <c r="O94" t="s">
        <v>636</v>
      </c>
      <c r="Q94">
        <v>5</v>
      </c>
      <c r="R94" t="s">
        <v>175</v>
      </c>
      <c r="S94" t="s">
        <v>176</v>
      </c>
      <c r="T94" t="s">
        <v>5</v>
      </c>
      <c r="U94" t="s">
        <v>200</v>
      </c>
      <c r="V94">
        <v>2</v>
      </c>
      <c r="W94" t="s">
        <v>397</v>
      </c>
      <c r="X94" t="s">
        <v>637</v>
      </c>
      <c r="Z94" t="s">
        <v>191</v>
      </c>
      <c r="AB94" t="s">
        <v>642</v>
      </c>
      <c r="AC94" t="s">
        <v>639</v>
      </c>
      <c r="AF94">
        <v>46050.791666666701</v>
      </c>
      <c r="AI94" t="s">
        <v>220</v>
      </c>
      <c r="AJ94" t="s">
        <v>186</v>
      </c>
      <c r="AK94" t="s">
        <v>640</v>
      </c>
      <c r="AL94" t="s">
        <v>640</v>
      </c>
      <c r="AM94" t="s">
        <v>641</v>
      </c>
      <c r="AN94" t="s">
        <v>189</v>
      </c>
      <c r="AO94" t="s">
        <v>27</v>
      </c>
      <c r="AP94" t="s">
        <v>30</v>
      </c>
      <c r="AQ94" t="s">
        <v>53</v>
      </c>
      <c r="AR94" t="s">
        <v>190</v>
      </c>
      <c r="AS94" t="s">
        <v>174</v>
      </c>
      <c r="AT94" t="s">
        <v>191</v>
      </c>
    </row>
    <row r="95" spans="1:46" ht="210" x14ac:dyDescent="0.25">
      <c r="A95" s="5">
        <v>46078.482430555552</v>
      </c>
      <c r="B95" t="s">
        <v>643</v>
      </c>
      <c r="C95" t="s">
        <v>173</v>
      </c>
      <c r="D95" t="s">
        <v>174</v>
      </c>
      <c r="E95" t="s">
        <v>325</v>
      </c>
      <c r="H95" t="s">
        <v>175</v>
      </c>
      <c r="I95" t="s">
        <v>176</v>
      </c>
      <c r="J95" t="s">
        <v>5</v>
      </c>
      <c r="K95" t="s">
        <v>200</v>
      </c>
      <c r="L95" s="6" t="s">
        <v>644</v>
      </c>
      <c r="M95" t="s">
        <v>76</v>
      </c>
      <c r="N95" t="s">
        <v>645</v>
      </c>
      <c r="O95" t="s">
        <v>646</v>
      </c>
      <c r="P95" t="s">
        <v>647</v>
      </c>
      <c r="Q95">
        <v>2</v>
      </c>
      <c r="R95" t="s">
        <v>175</v>
      </c>
      <c r="S95" t="s">
        <v>176</v>
      </c>
      <c r="T95" t="s">
        <v>5</v>
      </c>
      <c r="U95" t="s">
        <v>200</v>
      </c>
      <c r="V95">
        <v>6</v>
      </c>
      <c r="W95" t="s">
        <v>648</v>
      </c>
      <c r="X95" t="s">
        <v>649</v>
      </c>
      <c r="Z95" t="s">
        <v>138</v>
      </c>
      <c r="AB95" t="s">
        <v>650</v>
      </c>
      <c r="AF95">
        <v>46056</v>
      </c>
      <c r="AI95" t="s">
        <v>220</v>
      </c>
      <c r="AJ95" t="s">
        <v>345</v>
      </c>
      <c r="AK95" t="s">
        <v>651</v>
      </c>
      <c r="AL95" t="s">
        <v>652</v>
      </c>
      <c r="AM95" t="s">
        <v>188</v>
      </c>
      <c r="AN95" t="s">
        <v>189</v>
      </c>
      <c r="AO95" t="s">
        <v>72</v>
      </c>
      <c r="AP95" t="s">
        <v>72</v>
      </c>
      <c r="AQ95" t="s">
        <v>53</v>
      </c>
      <c r="AR95" t="s">
        <v>190</v>
      </c>
      <c r="AS95" t="s">
        <v>174</v>
      </c>
      <c r="AT95" t="s">
        <v>138</v>
      </c>
    </row>
    <row r="96" spans="1:46" ht="210" x14ac:dyDescent="0.25">
      <c r="A96" s="5">
        <v>46078.482430555552</v>
      </c>
      <c r="B96" t="s">
        <v>643</v>
      </c>
      <c r="C96" t="s">
        <v>173</v>
      </c>
      <c r="D96" t="s">
        <v>174</v>
      </c>
      <c r="E96" t="s">
        <v>325</v>
      </c>
      <c r="H96" t="s">
        <v>175</v>
      </c>
      <c r="I96" t="s">
        <v>176</v>
      </c>
      <c r="J96" t="s">
        <v>5</v>
      </c>
      <c r="K96" t="s">
        <v>200</v>
      </c>
      <c r="L96" s="6" t="s">
        <v>644</v>
      </c>
      <c r="M96" t="s">
        <v>76</v>
      </c>
      <c r="N96" t="s">
        <v>645</v>
      </c>
      <c r="O96" t="s">
        <v>646</v>
      </c>
      <c r="P96" t="s">
        <v>647</v>
      </c>
      <c r="Q96">
        <v>2</v>
      </c>
      <c r="R96" t="s">
        <v>175</v>
      </c>
      <c r="S96" t="s">
        <v>176</v>
      </c>
      <c r="T96" t="s">
        <v>5</v>
      </c>
      <c r="U96" t="s">
        <v>200</v>
      </c>
      <c r="V96">
        <v>6</v>
      </c>
      <c r="W96" t="s">
        <v>648</v>
      </c>
      <c r="X96" t="s">
        <v>649</v>
      </c>
      <c r="Z96" t="s">
        <v>138</v>
      </c>
      <c r="AB96" t="s">
        <v>653</v>
      </c>
      <c r="AF96">
        <v>46056</v>
      </c>
      <c r="AI96" t="s">
        <v>480</v>
      </c>
      <c r="AJ96" t="s">
        <v>345</v>
      </c>
      <c r="AK96" t="s">
        <v>651</v>
      </c>
      <c r="AL96" t="s">
        <v>652</v>
      </c>
      <c r="AM96" t="s">
        <v>188</v>
      </c>
      <c r="AN96" t="s">
        <v>189</v>
      </c>
      <c r="AO96" t="s">
        <v>72</v>
      </c>
      <c r="AP96" t="s">
        <v>72</v>
      </c>
      <c r="AQ96" t="s">
        <v>53</v>
      </c>
      <c r="AR96" t="s">
        <v>190</v>
      </c>
      <c r="AS96" t="s">
        <v>174</v>
      </c>
      <c r="AT96" t="s">
        <v>138</v>
      </c>
    </row>
    <row r="97" spans="1:46" ht="75" x14ac:dyDescent="0.25">
      <c r="A97" s="5">
        <v>46074.622060185182</v>
      </c>
      <c r="B97" t="s">
        <v>654</v>
      </c>
      <c r="C97" t="s">
        <v>173</v>
      </c>
      <c r="D97" t="s">
        <v>198</v>
      </c>
      <c r="E97" t="s">
        <v>199</v>
      </c>
      <c r="H97" t="s">
        <v>175</v>
      </c>
      <c r="I97" t="s">
        <v>176</v>
      </c>
      <c r="J97" t="s">
        <v>5</v>
      </c>
      <c r="K97" t="s">
        <v>200</v>
      </c>
      <c r="L97" s="6" t="s">
        <v>655</v>
      </c>
      <c r="M97" t="s">
        <v>34</v>
      </c>
      <c r="N97" t="s">
        <v>656</v>
      </c>
      <c r="O97" t="s">
        <v>657</v>
      </c>
      <c r="P97" t="s">
        <v>658</v>
      </c>
      <c r="R97" t="s">
        <v>175</v>
      </c>
      <c r="S97" t="s">
        <v>176</v>
      </c>
      <c r="T97" t="s">
        <v>5</v>
      </c>
      <c r="U97" t="s">
        <v>200</v>
      </c>
      <c r="V97">
        <v>1</v>
      </c>
      <c r="W97" t="s">
        <v>659</v>
      </c>
      <c r="X97" t="s">
        <v>660</v>
      </c>
      <c r="Z97" t="s">
        <v>661</v>
      </c>
      <c r="AF97">
        <v>45984.791666666701</v>
      </c>
      <c r="AI97" t="s">
        <v>185</v>
      </c>
      <c r="AJ97" t="s">
        <v>186</v>
      </c>
      <c r="AK97" t="s">
        <v>278</v>
      </c>
      <c r="AL97" t="s">
        <v>278</v>
      </c>
      <c r="AM97" t="s">
        <v>208</v>
      </c>
      <c r="AN97" t="s">
        <v>189</v>
      </c>
      <c r="AO97" t="s">
        <v>64</v>
      </c>
      <c r="AP97" t="s">
        <v>67</v>
      </c>
      <c r="AQ97" t="s">
        <v>53</v>
      </c>
      <c r="AR97" t="s">
        <v>190</v>
      </c>
      <c r="AS97" t="s">
        <v>198</v>
      </c>
      <c r="AT97" t="s">
        <v>347</v>
      </c>
    </row>
    <row r="98" spans="1:46" ht="105" x14ac:dyDescent="0.25">
      <c r="A98" s="5">
        <v>46063.649571759262</v>
      </c>
      <c r="B98" t="s">
        <v>662</v>
      </c>
      <c r="C98" t="s">
        <v>173</v>
      </c>
      <c r="D98" t="s">
        <v>174</v>
      </c>
      <c r="E98" t="s">
        <v>147</v>
      </c>
      <c r="H98" t="s">
        <v>175</v>
      </c>
      <c r="I98" t="s">
        <v>176</v>
      </c>
      <c r="J98" t="s">
        <v>5</v>
      </c>
      <c r="K98" t="s">
        <v>177</v>
      </c>
      <c r="L98" s="6" t="s">
        <v>663</v>
      </c>
      <c r="M98" t="s">
        <v>21</v>
      </c>
      <c r="N98" t="s">
        <v>664</v>
      </c>
      <c r="O98" t="s">
        <v>665</v>
      </c>
      <c r="P98" t="s">
        <v>666</v>
      </c>
      <c r="R98" t="s">
        <v>175</v>
      </c>
      <c r="S98" t="s">
        <v>176</v>
      </c>
      <c r="T98" t="s">
        <v>5</v>
      </c>
      <c r="U98" t="s">
        <v>177</v>
      </c>
      <c r="V98">
        <v>1</v>
      </c>
      <c r="W98" t="s">
        <v>182</v>
      </c>
      <c r="X98" t="s">
        <v>183</v>
      </c>
      <c r="Z98" t="s">
        <v>184</v>
      </c>
      <c r="AF98">
        <v>46000.791666666701</v>
      </c>
      <c r="AI98" t="s">
        <v>185</v>
      </c>
      <c r="AJ98" t="s">
        <v>186</v>
      </c>
      <c r="AK98" t="s">
        <v>187</v>
      </c>
      <c r="AL98" t="s">
        <v>187</v>
      </c>
      <c r="AM98" t="s">
        <v>188</v>
      </c>
      <c r="AN98" t="s">
        <v>189</v>
      </c>
      <c r="AO98" t="s">
        <v>6</v>
      </c>
      <c r="AP98" t="s">
        <v>9</v>
      </c>
      <c r="AQ98" t="s">
        <v>53</v>
      </c>
      <c r="AR98" t="s">
        <v>190</v>
      </c>
      <c r="AS98" t="s">
        <v>174</v>
      </c>
      <c r="AT98" t="s">
        <v>191</v>
      </c>
    </row>
    <row r="99" spans="1:46" ht="105" x14ac:dyDescent="0.25">
      <c r="A99" s="5">
        <v>46063.645497685182</v>
      </c>
      <c r="B99" t="s">
        <v>667</v>
      </c>
      <c r="C99" t="s">
        <v>173</v>
      </c>
      <c r="D99" t="s">
        <v>174</v>
      </c>
      <c r="E99" t="s">
        <v>147</v>
      </c>
      <c r="H99" t="s">
        <v>175</v>
      </c>
      <c r="I99" t="s">
        <v>176</v>
      </c>
      <c r="J99" t="s">
        <v>5</v>
      </c>
      <c r="K99" t="s">
        <v>177</v>
      </c>
      <c r="L99" s="6" t="s">
        <v>668</v>
      </c>
      <c r="M99" t="s">
        <v>21</v>
      </c>
      <c r="N99" t="s">
        <v>669</v>
      </c>
      <c r="O99" t="s">
        <v>670</v>
      </c>
      <c r="P99" t="s">
        <v>671</v>
      </c>
      <c r="R99" t="s">
        <v>175</v>
      </c>
      <c r="S99" t="s">
        <v>176</v>
      </c>
      <c r="T99" t="s">
        <v>5</v>
      </c>
      <c r="U99" t="s">
        <v>177</v>
      </c>
      <c r="V99">
        <v>1</v>
      </c>
      <c r="W99" t="s">
        <v>182</v>
      </c>
      <c r="X99" t="s">
        <v>183</v>
      </c>
      <c r="Z99" t="s">
        <v>184</v>
      </c>
      <c r="AF99">
        <v>46000.791666666701</v>
      </c>
      <c r="AI99" t="s">
        <v>185</v>
      </c>
      <c r="AJ99" t="s">
        <v>186</v>
      </c>
      <c r="AK99" t="s">
        <v>187</v>
      </c>
      <c r="AL99" t="s">
        <v>187</v>
      </c>
      <c r="AM99" t="s">
        <v>188</v>
      </c>
      <c r="AN99" t="s">
        <v>189</v>
      </c>
      <c r="AO99" t="s">
        <v>6</v>
      </c>
      <c r="AP99" t="s">
        <v>9</v>
      </c>
      <c r="AQ99" t="s">
        <v>53</v>
      </c>
      <c r="AR99" t="s">
        <v>190</v>
      </c>
      <c r="AS99" t="s">
        <v>174</v>
      </c>
      <c r="AT99" t="s">
        <v>191</v>
      </c>
    </row>
    <row r="100" spans="1:46" ht="105" x14ac:dyDescent="0.25">
      <c r="A100" s="5">
        <v>46063.641076388885</v>
      </c>
      <c r="B100" t="s">
        <v>672</v>
      </c>
      <c r="C100" t="s">
        <v>173</v>
      </c>
      <c r="D100" t="s">
        <v>174</v>
      </c>
      <c r="E100" t="s">
        <v>147</v>
      </c>
      <c r="H100" t="s">
        <v>175</v>
      </c>
      <c r="I100" t="s">
        <v>176</v>
      </c>
      <c r="J100" t="s">
        <v>5</v>
      </c>
      <c r="K100" t="s">
        <v>177</v>
      </c>
      <c r="L100" s="6" t="s">
        <v>673</v>
      </c>
      <c r="M100" t="s">
        <v>21</v>
      </c>
      <c r="N100" t="s">
        <v>674</v>
      </c>
      <c r="O100" t="s">
        <v>675</v>
      </c>
      <c r="P100" t="s">
        <v>676</v>
      </c>
      <c r="R100" t="s">
        <v>175</v>
      </c>
      <c r="S100" t="s">
        <v>176</v>
      </c>
      <c r="T100" t="s">
        <v>5</v>
      </c>
      <c r="U100" t="s">
        <v>177</v>
      </c>
      <c r="V100">
        <v>1</v>
      </c>
      <c r="W100" t="s">
        <v>182</v>
      </c>
      <c r="X100" t="s">
        <v>183</v>
      </c>
      <c r="Z100" t="s">
        <v>184</v>
      </c>
      <c r="AF100">
        <v>46000.791666666701</v>
      </c>
      <c r="AI100" t="s">
        <v>185</v>
      </c>
      <c r="AJ100" t="s">
        <v>186</v>
      </c>
      <c r="AK100" t="s">
        <v>187</v>
      </c>
      <c r="AL100" t="s">
        <v>187</v>
      </c>
      <c r="AM100" t="s">
        <v>188</v>
      </c>
      <c r="AN100" t="s">
        <v>189</v>
      </c>
      <c r="AO100" t="s">
        <v>6</v>
      </c>
      <c r="AP100" t="s">
        <v>9</v>
      </c>
      <c r="AQ100" t="s">
        <v>53</v>
      </c>
      <c r="AR100" t="s">
        <v>190</v>
      </c>
      <c r="AS100" t="s">
        <v>174</v>
      </c>
      <c r="AT100" t="s">
        <v>191</v>
      </c>
    </row>
    <row r="101" spans="1:46" ht="105" x14ac:dyDescent="0.25">
      <c r="A101" s="5">
        <v>46063.636307870373</v>
      </c>
      <c r="B101" t="s">
        <v>677</v>
      </c>
      <c r="C101" t="s">
        <v>173</v>
      </c>
      <c r="D101" t="s">
        <v>174</v>
      </c>
      <c r="E101" t="s">
        <v>147</v>
      </c>
      <c r="H101" t="s">
        <v>175</v>
      </c>
      <c r="I101" t="s">
        <v>176</v>
      </c>
      <c r="J101" t="s">
        <v>5</v>
      </c>
      <c r="K101" t="s">
        <v>177</v>
      </c>
      <c r="L101" s="6" t="s">
        <v>678</v>
      </c>
      <c r="M101" t="s">
        <v>21</v>
      </c>
      <c r="N101" t="s">
        <v>679</v>
      </c>
      <c r="O101" t="s">
        <v>680</v>
      </c>
      <c r="P101" t="s">
        <v>681</v>
      </c>
      <c r="R101" t="s">
        <v>175</v>
      </c>
      <c r="S101" t="s">
        <v>176</v>
      </c>
      <c r="T101" t="s">
        <v>5</v>
      </c>
      <c r="U101" t="s">
        <v>177</v>
      </c>
      <c r="V101">
        <v>1</v>
      </c>
      <c r="W101" t="s">
        <v>182</v>
      </c>
      <c r="X101" t="s">
        <v>183</v>
      </c>
      <c r="Z101" t="s">
        <v>184</v>
      </c>
      <c r="AF101">
        <v>45998.791666666701</v>
      </c>
      <c r="AI101" t="s">
        <v>185</v>
      </c>
      <c r="AJ101" t="s">
        <v>186</v>
      </c>
      <c r="AK101" t="s">
        <v>187</v>
      </c>
      <c r="AL101" t="s">
        <v>187</v>
      </c>
      <c r="AM101" t="s">
        <v>188</v>
      </c>
      <c r="AN101" t="s">
        <v>189</v>
      </c>
      <c r="AO101" t="s">
        <v>6</v>
      </c>
      <c r="AP101" t="s">
        <v>9</v>
      </c>
      <c r="AQ101" t="s">
        <v>53</v>
      </c>
      <c r="AR101" t="s">
        <v>190</v>
      </c>
      <c r="AS101" t="s">
        <v>174</v>
      </c>
      <c r="AT101" t="s">
        <v>191</v>
      </c>
    </row>
    <row r="102" spans="1:46" ht="105" x14ac:dyDescent="0.25">
      <c r="A102" s="5">
        <v>46063.631886574076</v>
      </c>
      <c r="B102" t="s">
        <v>682</v>
      </c>
      <c r="C102" t="s">
        <v>173</v>
      </c>
      <c r="D102" t="s">
        <v>174</v>
      </c>
      <c r="E102" t="s">
        <v>147</v>
      </c>
      <c r="H102" t="s">
        <v>175</v>
      </c>
      <c r="I102" t="s">
        <v>176</v>
      </c>
      <c r="J102" t="s">
        <v>5</v>
      </c>
      <c r="K102" t="s">
        <v>177</v>
      </c>
      <c r="L102" s="6" t="s">
        <v>683</v>
      </c>
      <c r="M102" t="s">
        <v>21</v>
      </c>
      <c r="N102" t="s">
        <v>684</v>
      </c>
      <c r="O102" t="s">
        <v>685</v>
      </c>
      <c r="P102" t="s">
        <v>686</v>
      </c>
      <c r="R102" t="s">
        <v>175</v>
      </c>
      <c r="S102" t="s">
        <v>176</v>
      </c>
      <c r="T102" t="s">
        <v>5</v>
      </c>
      <c r="U102" t="s">
        <v>177</v>
      </c>
      <c r="V102">
        <v>1</v>
      </c>
      <c r="W102" t="s">
        <v>182</v>
      </c>
      <c r="X102" t="s">
        <v>183</v>
      </c>
      <c r="Z102" t="s">
        <v>184</v>
      </c>
      <c r="AF102">
        <v>45998.791666666701</v>
      </c>
      <c r="AI102" t="s">
        <v>185</v>
      </c>
      <c r="AJ102" t="s">
        <v>186</v>
      </c>
      <c r="AK102" t="s">
        <v>187</v>
      </c>
      <c r="AL102" t="s">
        <v>187</v>
      </c>
      <c r="AM102" t="s">
        <v>188</v>
      </c>
      <c r="AN102" t="s">
        <v>189</v>
      </c>
      <c r="AO102" t="s">
        <v>6</v>
      </c>
      <c r="AP102" t="s">
        <v>9</v>
      </c>
      <c r="AQ102" t="s">
        <v>53</v>
      </c>
      <c r="AR102" t="s">
        <v>190</v>
      </c>
      <c r="AS102" t="s">
        <v>174</v>
      </c>
      <c r="AT102" t="s">
        <v>191</v>
      </c>
    </row>
    <row r="103" spans="1:46" ht="105" x14ac:dyDescent="0.25">
      <c r="A103" s="5">
        <v>46063.627858796295</v>
      </c>
      <c r="B103" t="s">
        <v>687</v>
      </c>
      <c r="C103" t="s">
        <v>173</v>
      </c>
      <c r="D103" t="s">
        <v>174</v>
      </c>
      <c r="E103" t="s">
        <v>147</v>
      </c>
      <c r="H103" t="s">
        <v>175</v>
      </c>
      <c r="I103" t="s">
        <v>176</v>
      </c>
      <c r="J103" t="s">
        <v>5</v>
      </c>
      <c r="K103" t="s">
        <v>177</v>
      </c>
      <c r="L103" s="6" t="s">
        <v>688</v>
      </c>
      <c r="M103" t="s">
        <v>21</v>
      </c>
      <c r="N103" t="s">
        <v>689</v>
      </c>
      <c r="O103" t="s">
        <v>690</v>
      </c>
      <c r="P103" t="s">
        <v>691</v>
      </c>
      <c r="R103" t="s">
        <v>175</v>
      </c>
      <c r="S103" t="s">
        <v>176</v>
      </c>
      <c r="T103" t="s">
        <v>5</v>
      </c>
      <c r="U103" t="s">
        <v>177</v>
      </c>
      <c r="V103">
        <v>1</v>
      </c>
      <c r="W103" t="s">
        <v>182</v>
      </c>
      <c r="X103" t="s">
        <v>183</v>
      </c>
      <c r="Z103" t="s">
        <v>184</v>
      </c>
      <c r="AF103">
        <v>45998.791666666701</v>
      </c>
      <c r="AI103" t="s">
        <v>185</v>
      </c>
      <c r="AJ103" t="s">
        <v>186</v>
      </c>
      <c r="AK103" t="s">
        <v>187</v>
      </c>
      <c r="AL103" t="s">
        <v>187</v>
      </c>
      <c r="AM103" t="s">
        <v>188</v>
      </c>
      <c r="AN103" t="s">
        <v>189</v>
      </c>
      <c r="AO103" t="s">
        <v>6</v>
      </c>
      <c r="AP103" t="s">
        <v>9</v>
      </c>
      <c r="AQ103" t="s">
        <v>53</v>
      </c>
      <c r="AR103" t="s">
        <v>190</v>
      </c>
      <c r="AS103" t="s">
        <v>174</v>
      </c>
      <c r="AT103" t="s">
        <v>191</v>
      </c>
    </row>
    <row r="104" spans="1:46" ht="210" x14ac:dyDescent="0.25">
      <c r="A104" s="5">
        <v>46079.508055555554</v>
      </c>
      <c r="B104" t="s">
        <v>692</v>
      </c>
      <c r="C104" t="s">
        <v>173</v>
      </c>
      <c r="D104" t="s">
        <v>174</v>
      </c>
      <c r="E104" t="s">
        <v>325</v>
      </c>
      <c r="H104" t="s">
        <v>175</v>
      </c>
      <c r="I104" t="s">
        <v>176</v>
      </c>
      <c r="J104" t="s">
        <v>5</v>
      </c>
      <c r="K104" t="s">
        <v>200</v>
      </c>
      <c r="L104" s="6" t="s">
        <v>693</v>
      </c>
      <c r="M104" t="s">
        <v>112</v>
      </c>
      <c r="N104" t="s">
        <v>694</v>
      </c>
      <c r="O104" t="s">
        <v>695</v>
      </c>
      <c r="Q104">
        <v>6</v>
      </c>
      <c r="R104" t="s">
        <v>175</v>
      </c>
      <c r="S104" t="s">
        <v>176</v>
      </c>
      <c r="T104" t="s">
        <v>5</v>
      </c>
      <c r="U104" t="s">
        <v>200</v>
      </c>
      <c r="V104">
        <v>52</v>
      </c>
      <c r="W104" t="s">
        <v>377</v>
      </c>
      <c r="X104" t="s">
        <v>450</v>
      </c>
      <c r="Z104" t="s">
        <v>191</v>
      </c>
      <c r="AB104" t="s">
        <v>696</v>
      </c>
      <c r="AF104">
        <v>46043.791666666701</v>
      </c>
      <c r="AI104" t="s">
        <v>220</v>
      </c>
      <c r="AJ104" t="s">
        <v>186</v>
      </c>
      <c r="AK104" t="s">
        <v>640</v>
      </c>
      <c r="AL104" t="s">
        <v>640</v>
      </c>
      <c r="AM104" t="s">
        <v>641</v>
      </c>
      <c r="AN104" t="s">
        <v>189</v>
      </c>
      <c r="AO104" t="s">
        <v>39</v>
      </c>
      <c r="AP104" t="s">
        <v>43</v>
      </c>
      <c r="AQ104" t="s">
        <v>53</v>
      </c>
      <c r="AR104" t="s">
        <v>190</v>
      </c>
      <c r="AS104" t="s">
        <v>174</v>
      </c>
      <c r="AT104" t="s">
        <v>191</v>
      </c>
    </row>
    <row r="105" spans="1:46" ht="135" x14ac:dyDescent="0.25">
      <c r="A105" s="5">
        <v>46055.486435185187</v>
      </c>
      <c r="B105" t="s">
        <v>697</v>
      </c>
      <c r="C105" t="s">
        <v>173</v>
      </c>
      <c r="D105" t="s">
        <v>198</v>
      </c>
      <c r="E105" t="s">
        <v>199</v>
      </c>
      <c r="H105" t="s">
        <v>175</v>
      </c>
      <c r="I105" t="s">
        <v>176</v>
      </c>
      <c r="J105" t="s">
        <v>5</v>
      </c>
      <c r="K105" t="s">
        <v>200</v>
      </c>
      <c r="L105" s="6" t="s">
        <v>698</v>
      </c>
      <c r="M105" t="s">
        <v>13</v>
      </c>
      <c r="N105" t="s">
        <v>699</v>
      </c>
      <c r="O105" t="s">
        <v>700</v>
      </c>
      <c r="P105" t="s">
        <v>701</v>
      </c>
      <c r="Q105">
        <v>1</v>
      </c>
      <c r="R105" t="s">
        <v>175</v>
      </c>
      <c r="S105" t="s">
        <v>176</v>
      </c>
      <c r="T105" t="s">
        <v>702</v>
      </c>
      <c r="U105" t="s">
        <v>177</v>
      </c>
      <c r="V105">
        <v>2</v>
      </c>
      <c r="W105" t="s">
        <v>703</v>
      </c>
      <c r="X105" t="s">
        <v>704</v>
      </c>
      <c r="Z105" t="s">
        <v>661</v>
      </c>
      <c r="AB105" t="s">
        <v>705</v>
      </c>
      <c r="AF105">
        <v>46059.791666666701</v>
      </c>
      <c r="AI105" t="s">
        <v>185</v>
      </c>
      <c r="AJ105" t="s">
        <v>186</v>
      </c>
      <c r="AK105" t="s">
        <v>706</v>
      </c>
      <c r="AL105" t="s">
        <v>706</v>
      </c>
      <c r="AM105" t="s">
        <v>208</v>
      </c>
      <c r="AN105" t="s">
        <v>189</v>
      </c>
      <c r="AO105" t="s">
        <v>16</v>
      </c>
      <c r="AP105" t="s">
        <v>20</v>
      </c>
      <c r="AQ105" t="s">
        <v>53</v>
      </c>
      <c r="AR105" t="s">
        <v>190</v>
      </c>
      <c r="AS105" t="s">
        <v>198</v>
      </c>
      <c r="AT105" t="s">
        <v>347</v>
      </c>
    </row>
    <row r="106" spans="1:46" ht="345" x14ac:dyDescent="0.25">
      <c r="A106" s="5">
        <v>46059.456967592596</v>
      </c>
      <c r="B106" t="s">
        <v>707</v>
      </c>
      <c r="C106" t="s">
        <v>173</v>
      </c>
      <c r="D106" t="s">
        <v>198</v>
      </c>
      <c r="E106" t="s">
        <v>199</v>
      </c>
      <c r="H106" t="s">
        <v>175</v>
      </c>
      <c r="I106" t="s">
        <v>176</v>
      </c>
      <c r="J106" t="s">
        <v>5</v>
      </c>
      <c r="K106" t="s">
        <v>200</v>
      </c>
      <c r="L106" s="6" t="s">
        <v>708</v>
      </c>
      <c r="M106" t="s">
        <v>38</v>
      </c>
      <c r="N106" t="s">
        <v>709</v>
      </c>
      <c r="O106" t="s">
        <v>710</v>
      </c>
      <c r="P106" t="s">
        <v>711</v>
      </c>
      <c r="Q106">
        <v>2</v>
      </c>
      <c r="R106" t="s">
        <v>175</v>
      </c>
      <c r="S106" t="s">
        <v>176</v>
      </c>
      <c r="T106" t="s">
        <v>5</v>
      </c>
      <c r="U106" t="s">
        <v>200</v>
      </c>
      <c r="V106">
        <v>1</v>
      </c>
      <c r="W106" t="s">
        <v>205</v>
      </c>
      <c r="X106" t="s">
        <v>277</v>
      </c>
      <c r="Z106" t="s">
        <v>138</v>
      </c>
      <c r="AB106" t="s">
        <v>712</v>
      </c>
      <c r="AF106">
        <v>46055.791666666701</v>
      </c>
      <c r="AI106" t="s">
        <v>185</v>
      </c>
      <c r="AJ106" t="s">
        <v>186</v>
      </c>
      <c r="AK106" t="s">
        <v>207</v>
      </c>
      <c r="AL106" t="s">
        <v>207</v>
      </c>
      <c r="AM106" t="s">
        <v>208</v>
      </c>
      <c r="AN106" t="s">
        <v>189</v>
      </c>
      <c r="AO106" t="s">
        <v>15</v>
      </c>
      <c r="AP106" t="s">
        <v>19</v>
      </c>
      <c r="AQ106" t="s">
        <v>53</v>
      </c>
      <c r="AR106" t="s">
        <v>190</v>
      </c>
      <c r="AS106" t="s">
        <v>198</v>
      </c>
      <c r="AT106" t="s">
        <v>138</v>
      </c>
    </row>
    <row r="107" spans="1:46" ht="345" x14ac:dyDescent="0.25">
      <c r="A107" s="5">
        <v>46059.456967592596</v>
      </c>
      <c r="B107" t="s">
        <v>707</v>
      </c>
      <c r="C107" t="s">
        <v>173</v>
      </c>
      <c r="D107" t="s">
        <v>198</v>
      </c>
      <c r="E107" t="s">
        <v>199</v>
      </c>
      <c r="H107" t="s">
        <v>175</v>
      </c>
      <c r="I107" t="s">
        <v>176</v>
      </c>
      <c r="J107" t="s">
        <v>5</v>
      </c>
      <c r="K107" t="s">
        <v>200</v>
      </c>
      <c r="L107" s="6" t="s">
        <v>708</v>
      </c>
      <c r="M107" t="s">
        <v>38</v>
      </c>
      <c r="N107" t="s">
        <v>709</v>
      </c>
      <c r="O107" t="s">
        <v>710</v>
      </c>
      <c r="P107" t="s">
        <v>711</v>
      </c>
      <c r="Q107">
        <v>3</v>
      </c>
      <c r="R107" t="s">
        <v>175</v>
      </c>
      <c r="S107" t="s">
        <v>176</v>
      </c>
      <c r="T107" t="s">
        <v>5</v>
      </c>
      <c r="U107" t="s">
        <v>200</v>
      </c>
      <c r="V107">
        <v>5</v>
      </c>
      <c r="W107" t="s">
        <v>205</v>
      </c>
      <c r="X107" t="s">
        <v>277</v>
      </c>
      <c r="Z107" t="s">
        <v>138</v>
      </c>
      <c r="AB107" t="s">
        <v>713</v>
      </c>
      <c r="AF107">
        <v>46055.791666666701</v>
      </c>
      <c r="AI107" t="s">
        <v>185</v>
      </c>
      <c r="AJ107" t="s">
        <v>186</v>
      </c>
      <c r="AK107" t="s">
        <v>207</v>
      </c>
      <c r="AL107" t="s">
        <v>207</v>
      </c>
      <c r="AM107" t="s">
        <v>208</v>
      </c>
      <c r="AN107" t="s">
        <v>189</v>
      </c>
      <c r="AO107" t="s">
        <v>15</v>
      </c>
      <c r="AP107" t="s">
        <v>19</v>
      </c>
      <c r="AQ107" t="s">
        <v>53</v>
      </c>
      <c r="AR107" t="s">
        <v>190</v>
      </c>
      <c r="AS107" t="s">
        <v>198</v>
      </c>
      <c r="AT107" t="s">
        <v>138</v>
      </c>
    </row>
    <row r="108" spans="1:46" ht="180" x14ac:dyDescent="0.25">
      <c r="A108" s="5">
        <v>46073.608298611114</v>
      </c>
      <c r="B108" t="s">
        <v>714</v>
      </c>
      <c r="C108" t="s">
        <v>173</v>
      </c>
      <c r="D108" t="s">
        <v>174</v>
      </c>
      <c r="E108" t="s">
        <v>184</v>
      </c>
      <c r="H108" t="s">
        <v>175</v>
      </c>
      <c r="I108" t="s">
        <v>176</v>
      </c>
      <c r="J108" t="s">
        <v>5</v>
      </c>
      <c r="K108" t="s">
        <v>200</v>
      </c>
      <c r="L108" s="6" t="s">
        <v>715</v>
      </c>
      <c r="M108" t="s">
        <v>59</v>
      </c>
      <c r="N108" t="s">
        <v>716</v>
      </c>
      <c r="O108" t="s">
        <v>717</v>
      </c>
      <c r="P108" t="s">
        <v>718</v>
      </c>
      <c r="Q108">
        <v>14</v>
      </c>
      <c r="R108" t="s">
        <v>175</v>
      </c>
      <c r="S108" t="s">
        <v>176</v>
      </c>
      <c r="T108" t="s">
        <v>11</v>
      </c>
      <c r="U108" t="s">
        <v>200</v>
      </c>
      <c r="V108">
        <v>2</v>
      </c>
      <c r="W108" t="s">
        <v>719</v>
      </c>
      <c r="X108" t="s">
        <v>720</v>
      </c>
      <c r="Z108" t="s">
        <v>721</v>
      </c>
      <c r="AB108" t="s">
        <v>722</v>
      </c>
      <c r="AF108">
        <v>46065.791666666701</v>
      </c>
      <c r="AI108" t="s">
        <v>220</v>
      </c>
      <c r="AJ108" t="s">
        <v>186</v>
      </c>
      <c r="AK108" t="s">
        <v>207</v>
      </c>
      <c r="AL108" t="s">
        <v>207</v>
      </c>
      <c r="AM108" t="s">
        <v>188</v>
      </c>
      <c r="AN108" t="s">
        <v>189</v>
      </c>
      <c r="AO108" t="s">
        <v>49</v>
      </c>
      <c r="AP108" t="s">
        <v>49</v>
      </c>
      <c r="AQ108" t="s">
        <v>53</v>
      </c>
      <c r="AR108" t="s">
        <v>190</v>
      </c>
      <c r="AS108" t="s">
        <v>174</v>
      </c>
      <c r="AT108" t="s">
        <v>191</v>
      </c>
    </row>
    <row r="109" spans="1:46" ht="180" x14ac:dyDescent="0.25">
      <c r="A109" s="5">
        <v>46073.608298611114</v>
      </c>
      <c r="B109" t="s">
        <v>714</v>
      </c>
      <c r="C109" t="s">
        <v>173</v>
      </c>
      <c r="D109" t="s">
        <v>174</v>
      </c>
      <c r="E109" t="s">
        <v>184</v>
      </c>
      <c r="H109" t="s">
        <v>175</v>
      </c>
      <c r="I109" t="s">
        <v>176</v>
      </c>
      <c r="J109" t="s">
        <v>5</v>
      </c>
      <c r="K109" t="s">
        <v>200</v>
      </c>
      <c r="L109" s="6" t="s">
        <v>715</v>
      </c>
      <c r="M109" t="s">
        <v>59</v>
      </c>
      <c r="N109" t="s">
        <v>716</v>
      </c>
      <c r="O109" t="s">
        <v>717</v>
      </c>
      <c r="P109" t="s">
        <v>718</v>
      </c>
      <c r="Q109">
        <v>15</v>
      </c>
      <c r="R109" t="s">
        <v>175</v>
      </c>
      <c r="S109" t="s">
        <v>176</v>
      </c>
      <c r="T109" t="s">
        <v>11</v>
      </c>
      <c r="U109" t="s">
        <v>200</v>
      </c>
      <c r="V109">
        <v>2</v>
      </c>
      <c r="W109" t="s">
        <v>719</v>
      </c>
      <c r="X109" t="s">
        <v>720</v>
      </c>
      <c r="Z109" t="s">
        <v>721</v>
      </c>
      <c r="AB109" t="s">
        <v>723</v>
      </c>
      <c r="AF109">
        <v>46065.791666666701</v>
      </c>
      <c r="AI109" t="s">
        <v>220</v>
      </c>
      <c r="AJ109" t="s">
        <v>186</v>
      </c>
      <c r="AK109" t="s">
        <v>207</v>
      </c>
      <c r="AL109" t="s">
        <v>207</v>
      </c>
      <c r="AM109" t="s">
        <v>188</v>
      </c>
      <c r="AN109" t="s">
        <v>189</v>
      </c>
      <c r="AO109" t="s">
        <v>49</v>
      </c>
      <c r="AP109" t="s">
        <v>49</v>
      </c>
      <c r="AQ109" t="s">
        <v>53</v>
      </c>
      <c r="AR109" t="s">
        <v>190</v>
      </c>
      <c r="AS109" t="s">
        <v>174</v>
      </c>
      <c r="AT109" t="s">
        <v>191</v>
      </c>
    </row>
    <row r="110" spans="1:46" ht="75" x14ac:dyDescent="0.25">
      <c r="A110" s="5">
        <v>46074.663194444445</v>
      </c>
      <c r="B110" t="s">
        <v>724</v>
      </c>
      <c r="C110" t="s">
        <v>173</v>
      </c>
      <c r="D110" t="s">
        <v>198</v>
      </c>
      <c r="E110" t="s">
        <v>199</v>
      </c>
      <c r="H110" t="s">
        <v>175</v>
      </c>
      <c r="I110" t="s">
        <v>176</v>
      </c>
      <c r="J110" t="s">
        <v>5</v>
      </c>
      <c r="K110" t="s">
        <v>200</v>
      </c>
      <c r="L110" s="6" t="s">
        <v>725</v>
      </c>
      <c r="M110" t="s">
        <v>34</v>
      </c>
      <c r="N110" t="s">
        <v>726</v>
      </c>
      <c r="O110" t="s">
        <v>727</v>
      </c>
      <c r="P110" t="s">
        <v>728</v>
      </c>
      <c r="R110" t="s">
        <v>175</v>
      </c>
      <c r="S110" t="s">
        <v>176</v>
      </c>
      <c r="T110" t="s">
        <v>5</v>
      </c>
      <c r="U110" t="s">
        <v>200</v>
      </c>
      <c r="V110">
        <v>1</v>
      </c>
      <c r="W110" t="s">
        <v>205</v>
      </c>
      <c r="X110" t="s">
        <v>277</v>
      </c>
      <c r="Z110" t="s">
        <v>138</v>
      </c>
      <c r="AF110">
        <v>45993.791666666701</v>
      </c>
      <c r="AI110" t="s">
        <v>185</v>
      </c>
      <c r="AJ110" t="s">
        <v>186</v>
      </c>
      <c r="AK110" t="s">
        <v>278</v>
      </c>
      <c r="AL110" t="s">
        <v>278</v>
      </c>
      <c r="AM110" t="s">
        <v>208</v>
      </c>
      <c r="AN110" t="s">
        <v>189</v>
      </c>
      <c r="AO110" t="s">
        <v>15</v>
      </c>
      <c r="AP110" t="s">
        <v>19</v>
      </c>
      <c r="AQ110" t="s">
        <v>53</v>
      </c>
      <c r="AR110" t="s">
        <v>190</v>
      </c>
      <c r="AS110" t="s">
        <v>198</v>
      </c>
      <c r="AT110" t="s">
        <v>138</v>
      </c>
    </row>
    <row r="111" spans="1:46" ht="75" x14ac:dyDescent="0.25">
      <c r="A111" s="5">
        <v>46073.423483796294</v>
      </c>
      <c r="B111" t="s">
        <v>729</v>
      </c>
      <c r="C111" t="s">
        <v>173</v>
      </c>
      <c r="D111" t="s">
        <v>174</v>
      </c>
      <c r="E111" t="s">
        <v>325</v>
      </c>
      <c r="H111" t="s">
        <v>175</v>
      </c>
      <c r="I111" t="s">
        <v>176</v>
      </c>
      <c r="J111" t="s">
        <v>5</v>
      </c>
      <c r="K111" t="s">
        <v>200</v>
      </c>
      <c r="L111" s="6" t="s">
        <v>730</v>
      </c>
      <c r="M111" t="s">
        <v>105</v>
      </c>
      <c r="N111" t="s">
        <v>731</v>
      </c>
      <c r="O111" t="s">
        <v>732</v>
      </c>
      <c r="P111" t="s">
        <v>733</v>
      </c>
      <c r="Q111">
        <v>1</v>
      </c>
      <c r="R111" t="s">
        <v>175</v>
      </c>
      <c r="S111" t="s">
        <v>176</v>
      </c>
      <c r="T111" t="s">
        <v>5</v>
      </c>
      <c r="U111" t="s">
        <v>200</v>
      </c>
      <c r="V111">
        <v>16</v>
      </c>
      <c r="W111" t="s">
        <v>330</v>
      </c>
      <c r="X111" t="s">
        <v>331</v>
      </c>
      <c r="Z111" t="s">
        <v>191</v>
      </c>
      <c r="AB111" t="s">
        <v>734</v>
      </c>
      <c r="AF111">
        <v>46035.791666666701</v>
      </c>
      <c r="AI111" t="s">
        <v>220</v>
      </c>
      <c r="AJ111" t="s">
        <v>186</v>
      </c>
      <c r="AK111" t="s">
        <v>207</v>
      </c>
      <c r="AL111" t="s">
        <v>207</v>
      </c>
      <c r="AM111" t="s">
        <v>208</v>
      </c>
      <c r="AN111" t="s">
        <v>189</v>
      </c>
      <c r="AO111" t="s">
        <v>26</v>
      </c>
      <c r="AP111" t="s">
        <v>32</v>
      </c>
      <c r="AQ111" t="s">
        <v>53</v>
      </c>
      <c r="AR111" t="s">
        <v>190</v>
      </c>
      <c r="AS111" t="s">
        <v>174</v>
      </c>
      <c r="AT111" t="s">
        <v>191</v>
      </c>
    </row>
    <row r="112" spans="1:46" ht="180" x14ac:dyDescent="0.25">
      <c r="A112" s="5">
        <v>46071.503668981481</v>
      </c>
      <c r="B112" t="s">
        <v>735</v>
      </c>
      <c r="C112" t="s">
        <v>173</v>
      </c>
      <c r="D112" t="s">
        <v>174</v>
      </c>
      <c r="E112" t="s">
        <v>147</v>
      </c>
      <c r="H112" t="s">
        <v>175</v>
      </c>
      <c r="I112" t="s">
        <v>176</v>
      </c>
      <c r="J112" t="s">
        <v>5</v>
      </c>
      <c r="K112" t="s">
        <v>177</v>
      </c>
      <c r="L112" s="6" t="s">
        <v>736</v>
      </c>
      <c r="M112" t="s">
        <v>7</v>
      </c>
      <c r="N112" t="s">
        <v>737</v>
      </c>
      <c r="O112" t="s">
        <v>738</v>
      </c>
      <c r="P112" t="s">
        <v>739</v>
      </c>
      <c r="R112" t="s">
        <v>175</v>
      </c>
      <c r="S112" t="s">
        <v>176</v>
      </c>
      <c r="T112" t="s">
        <v>5</v>
      </c>
      <c r="U112" t="s">
        <v>177</v>
      </c>
      <c r="V112">
        <v>1</v>
      </c>
      <c r="W112" t="s">
        <v>182</v>
      </c>
      <c r="X112" t="s">
        <v>183</v>
      </c>
      <c r="Z112" t="s">
        <v>184</v>
      </c>
      <c r="AF112">
        <v>45811.833333333299</v>
      </c>
      <c r="AI112" t="s">
        <v>185</v>
      </c>
      <c r="AJ112" t="s">
        <v>186</v>
      </c>
      <c r="AK112" t="s">
        <v>187</v>
      </c>
      <c r="AL112" t="s">
        <v>187</v>
      </c>
      <c r="AM112" t="s">
        <v>188</v>
      </c>
      <c r="AN112" t="s">
        <v>189</v>
      </c>
      <c r="AO112" t="s">
        <v>6</v>
      </c>
      <c r="AP112" t="s">
        <v>9</v>
      </c>
      <c r="AQ112" t="s">
        <v>53</v>
      </c>
      <c r="AR112" t="s">
        <v>190</v>
      </c>
      <c r="AS112" t="s">
        <v>174</v>
      </c>
      <c r="AT112" t="s">
        <v>191</v>
      </c>
    </row>
    <row r="113" spans="1:46" ht="105" x14ac:dyDescent="0.25">
      <c r="A113" s="5">
        <v>46063.576018518521</v>
      </c>
      <c r="B113" t="s">
        <v>740</v>
      </c>
      <c r="C113" t="s">
        <v>173</v>
      </c>
      <c r="D113" t="s">
        <v>174</v>
      </c>
      <c r="E113" t="s">
        <v>147</v>
      </c>
      <c r="H113" t="s">
        <v>175</v>
      </c>
      <c r="I113" t="s">
        <v>176</v>
      </c>
      <c r="J113" t="s">
        <v>5</v>
      </c>
      <c r="K113" t="s">
        <v>177</v>
      </c>
      <c r="L113" s="6" t="s">
        <v>268</v>
      </c>
      <c r="M113" t="s">
        <v>7</v>
      </c>
      <c r="N113" t="s">
        <v>741</v>
      </c>
      <c r="O113" t="s">
        <v>742</v>
      </c>
      <c r="P113" t="s">
        <v>743</v>
      </c>
      <c r="R113" t="s">
        <v>175</v>
      </c>
      <c r="S113" t="s">
        <v>176</v>
      </c>
      <c r="T113" t="s">
        <v>5</v>
      </c>
      <c r="U113" t="s">
        <v>177</v>
      </c>
      <c r="V113">
        <v>1</v>
      </c>
      <c r="W113" t="s">
        <v>182</v>
      </c>
      <c r="X113" t="s">
        <v>183</v>
      </c>
      <c r="Z113" t="s">
        <v>184</v>
      </c>
      <c r="AF113">
        <v>45981.791666666701</v>
      </c>
      <c r="AI113" t="s">
        <v>185</v>
      </c>
      <c r="AJ113" t="s">
        <v>186</v>
      </c>
      <c r="AK113" t="s">
        <v>187</v>
      </c>
      <c r="AL113" t="s">
        <v>187</v>
      </c>
      <c r="AM113" t="s">
        <v>188</v>
      </c>
      <c r="AN113" t="s">
        <v>189</v>
      </c>
      <c r="AO113" t="s">
        <v>6</v>
      </c>
      <c r="AP113" t="s">
        <v>9</v>
      </c>
      <c r="AQ113" t="s">
        <v>53</v>
      </c>
      <c r="AR113" t="s">
        <v>190</v>
      </c>
      <c r="AS113" t="s">
        <v>174</v>
      </c>
      <c r="AT113" t="s">
        <v>191</v>
      </c>
    </row>
    <row r="114" spans="1:46" ht="105" x14ac:dyDescent="0.25">
      <c r="A114" s="5">
        <v>46063.582615740743</v>
      </c>
      <c r="B114" t="s">
        <v>744</v>
      </c>
      <c r="C114" t="s">
        <v>173</v>
      </c>
      <c r="D114" t="s">
        <v>174</v>
      </c>
      <c r="E114" t="s">
        <v>147</v>
      </c>
      <c r="H114" t="s">
        <v>175</v>
      </c>
      <c r="I114" t="s">
        <v>176</v>
      </c>
      <c r="J114" t="s">
        <v>5</v>
      </c>
      <c r="K114" t="s">
        <v>177</v>
      </c>
      <c r="L114" s="6" t="s">
        <v>745</v>
      </c>
      <c r="M114" t="s">
        <v>7</v>
      </c>
      <c r="N114" t="s">
        <v>746</v>
      </c>
      <c r="O114" t="s">
        <v>747</v>
      </c>
      <c r="P114" t="s">
        <v>748</v>
      </c>
      <c r="R114" t="s">
        <v>175</v>
      </c>
      <c r="S114" t="s">
        <v>176</v>
      </c>
      <c r="T114" t="s">
        <v>5</v>
      </c>
      <c r="U114" t="s">
        <v>177</v>
      </c>
      <c r="V114">
        <v>1</v>
      </c>
      <c r="W114" t="s">
        <v>182</v>
      </c>
      <c r="X114" t="s">
        <v>183</v>
      </c>
      <c r="Z114" t="s">
        <v>184</v>
      </c>
      <c r="AF114">
        <v>45985.791666666701</v>
      </c>
      <c r="AI114" t="s">
        <v>185</v>
      </c>
      <c r="AJ114" t="s">
        <v>186</v>
      </c>
      <c r="AK114" t="s">
        <v>187</v>
      </c>
      <c r="AL114" t="s">
        <v>187</v>
      </c>
      <c r="AM114" t="s">
        <v>188</v>
      </c>
      <c r="AN114" t="s">
        <v>189</v>
      </c>
      <c r="AO114" t="s">
        <v>6</v>
      </c>
      <c r="AP114" t="s">
        <v>9</v>
      </c>
      <c r="AQ114" t="s">
        <v>53</v>
      </c>
      <c r="AR114" t="s">
        <v>190</v>
      </c>
      <c r="AS114" t="s">
        <v>174</v>
      </c>
      <c r="AT114" t="s">
        <v>191</v>
      </c>
    </row>
    <row r="115" spans="1:46" ht="105" x14ac:dyDescent="0.25">
      <c r="A115" s="5">
        <v>46063.628541666665</v>
      </c>
      <c r="B115" t="s">
        <v>749</v>
      </c>
      <c r="C115" t="s">
        <v>173</v>
      </c>
      <c r="D115" t="s">
        <v>174</v>
      </c>
      <c r="E115" t="s">
        <v>210</v>
      </c>
      <c r="G115" t="s">
        <v>211</v>
      </c>
      <c r="H115" t="s">
        <v>175</v>
      </c>
      <c r="I115" t="s">
        <v>176</v>
      </c>
      <c r="J115" t="s">
        <v>5</v>
      </c>
      <c r="K115" t="s">
        <v>200</v>
      </c>
      <c r="L115" s="6" t="s">
        <v>750</v>
      </c>
      <c r="M115" t="s">
        <v>55</v>
      </c>
      <c r="N115" t="s">
        <v>751</v>
      </c>
      <c r="O115" t="s">
        <v>752</v>
      </c>
      <c r="P115" t="s">
        <v>753</v>
      </c>
      <c r="R115" t="s">
        <v>175</v>
      </c>
      <c r="S115" t="s">
        <v>176</v>
      </c>
      <c r="T115" t="s">
        <v>5</v>
      </c>
      <c r="U115" t="s">
        <v>200</v>
      </c>
      <c r="V115">
        <v>1</v>
      </c>
      <c r="W115" t="s">
        <v>397</v>
      </c>
      <c r="X115" t="s">
        <v>637</v>
      </c>
      <c r="Z115" t="s">
        <v>191</v>
      </c>
      <c r="AB115" t="s">
        <v>754</v>
      </c>
      <c r="AC115" t="s">
        <v>400</v>
      </c>
      <c r="AF115">
        <v>45995.791666666701</v>
      </c>
      <c r="AI115" t="s">
        <v>220</v>
      </c>
      <c r="AJ115" t="s">
        <v>186</v>
      </c>
      <c r="AK115" t="s">
        <v>492</v>
      </c>
      <c r="AL115" t="s">
        <v>492</v>
      </c>
      <c r="AM115" t="s">
        <v>208</v>
      </c>
      <c r="AN115" t="s">
        <v>189</v>
      </c>
      <c r="AO115" t="s">
        <v>27</v>
      </c>
      <c r="AP115" t="s">
        <v>30</v>
      </c>
      <c r="AQ115" t="s">
        <v>53</v>
      </c>
      <c r="AR115" t="s">
        <v>190</v>
      </c>
      <c r="AS115" t="s">
        <v>174</v>
      </c>
      <c r="AT115" t="s">
        <v>191</v>
      </c>
    </row>
    <row r="116" spans="1:46" ht="105" x14ac:dyDescent="0.25">
      <c r="A116" s="5">
        <v>46063.586759259262</v>
      </c>
      <c r="B116" t="s">
        <v>755</v>
      </c>
      <c r="C116" t="s">
        <v>173</v>
      </c>
      <c r="D116" t="s">
        <v>174</v>
      </c>
      <c r="E116" t="s">
        <v>147</v>
      </c>
      <c r="H116" t="s">
        <v>175</v>
      </c>
      <c r="I116" t="s">
        <v>176</v>
      </c>
      <c r="J116" t="s">
        <v>5</v>
      </c>
      <c r="K116" t="s">
        <v>177</v>
      </c>
      <c r="L116" s="6" t="s">
        <v>756</v>
      </c>
      <c r="M116" t="s">
        <v>7</v>
      </c>
      <c r="N116" t="s">
        <v>757</v>
      </c>
      <c r="O116" t="s">
        <v>758</v>
      </c>
      <c r="P116" t="s">
        <v>759</v>
      </c>
      <c r="R116" t="s">
        <v>175</v>
      </c>
      <c r="S116" t="s">
        <v>176</v>
      </c>
      <c r="T116" t="s">
        <v>5</v>
      </c>
      <c r="U116" t="s">
        <v>177</v>
      </c>
      <c r="V116">
        <v>1</v>
      </c>
      <c r="W116" t="s">
        <v>182</v>
      </c>
      <c r="X116" t="s">
        <v>183</v>
      </c>
      <c r="Z116" t="s">
        <v>184</v>
      </c>
      <c r="AF116">
        <v>45985.791666666701</v>
      </c>
      <c r="AI116" t="s">
        <v>185</v>
      </c>
      <c r="AJ116" t="s">
        <v>186</v>
      </c>
      <c r="AK116" t="s">
        <v>187</v>
      </c>
      <c r="AL116" t="s">
        <v>187</v>
      </c>
      <c r="AM116" t="s">
        <v>188</v>
      </c>
      <c r="AN116" t="s">
        <v>189</v>
      </c>
      <c r="AO116" t="s">
        <v>6</v>
      </c>
      <c r="AP116" t="s">
        <v>9</v>
      </c>
      <c r="AQ116" t="s">
        <v>53</v>
      </c>
      <c r="AR116" t="s">
        <v>190</v>
      </c>
      <c r="AS116" t="s">
        <v>174</v>
      </c>
      <c r="AT116" t="s">
        <v>191</v>
      </c>
    </row>
    <row r="117" spans="1:46" ht="105" x14ac:dyDescent="0.25">
      <c r="A117" s="5">
        <v>46063.591134259259</v>
      </c>
      <c r="B117" t="s">
        <v>760</v>
      </c>
      <c r="C117" t="s">
        <v>173</v>
      </c>
      <c r="D117" t="s">
        <v>174</v>
      </c>
      <c r="E117" t="s">
        <v>147</v>
      </c>
      <c r="H117" t="s">
        <v>175</v>
      </c>
      <c r="I117" t="s">
        <v>176</v>
      </c>
      <c r="J117" t="s">
        <v>5</v>
      </c>
      <c r="K117" t="s">
        <v>177</v>
      </c>
      <c r="L117" s="6" t="s">
        <v>761</v>
      </c>
      <c r="M117" t="s">
        <v>7</v>
      </c>
      <c r="N117" t="s">
        <v>762</v>
      </c>
      <c r="O117" t="s">
        <v>763</v>
      </c>
      <c r="P117" t="s">
        <v>764</v>
      </c>
      <c r="R117" t="s">
        <v>175</v>
      </c>
      <c r="S117" t="s">
        <v>176</v>
      </c>
      <c r="T117" t="s">
        <v>5</v>
      </c>
      <c r="U117" t="s">
        <v>177</v>
      </c>
      <c r="V117">
        <v>1</v>
      </c>
      <c r="W117" t="s">
        <v>182</v>
      </c>
      <c r="X117" t="s">
        <v>183</v>
      </c>
      <c r="Z117" t="s">
        <v>184</v>
      </c>
      <c r="AF117">
        <v>45993.791666666701</v>
      </c>
      <c r="AI117" t="s">
        <v>185</v>
      </c>
      <c r="AJ117" t="s">
        <v>186</v>
      </c>
      <c r="AK117" t="s">
        <v>187</v>
      </c>
      <c r="AL117" t="s">
        <v>187</v>
      </c>
      <c r="AM117" t="s">
        <v>188</v>
      </c>
      <c r="AN117" t="s">
        <v>189</v>
      </c>
      <c r="AO117" t="s">
        <v>6</v>
      </c>
      <c r="AP117" t="s">
        <v>9</v>
      </c>
      <c r="AQ117" t="s">
        <v>53</v>
      </c>
      <c r="AR117" t="s">
        <v>190</v>
      </c>
      <c r="AS117" t="s">
        <v>174</v>
      </c>
      <c r="AT117" t="s">
        <v>191</v>
      </c>
    </row>
    <row r="118" spans="1:46" ht="105" x14ac:dyDescent="0.25">
      <c r="A118" s="5">
        <v>46063.595613425925</v>
      </c>
      <c r="B118" t="s">
        <v>765</v>
      </c>
      <c r="C118" t="s">
        <v>173</v>
      </c>
      <c r="D118" t="s">
        <v>174</v>
      </c>
      <c r="E118" t="s">
        <v>147</v>
      </c>
      <c r="H118" t="s">
        <v>175</v>
      </c>
      <c r="I118" t="s">
        <v>176</v>
      </c>
      <c r="J118" t="s">
        <v>5</v>
      </c>
      <c r="K118" t="s">
        <v>177</v>
      </c>
      <c r="L118" s="6" t="s">
        <v>766</v>
      </c>
      <c r="M118" t="s">
        <v>7</v>
      </c>
      <c r="N118" t="s">
        <v>767</v>
      </c>
      <c r="O118" t="s">
        <v>768</v>
      </c>
      <c r="P118" t="s">
        <v>769</v>
      </c>
      <c r="R118" t="s">
        <v>175</v>
      </c>
      <c r="S118" t="s">
        <v>176</v>
      </c>
      <c r="T118" t="s">
        <v>5</v>
      </c>
      <c r="U118" t="s">
        <v>177</v>
      </c>
      <c r="V118">
        <v>1</v>
      </c>
      <c r="W118" t="s">
        <v>182</v>
      </c>
      <c r="X118" t="s">
        <v>183</v>
      </c>
      <c r="Z118" t="s">
        <v>184</v>
      </c>
      <c r="AF118">
        <v>45998.791666666701</v>
      </c>
      <c r="AI118" t="s">
        <v>185</v>
      </c>
      <c r="AJ118" t="s">
        <v>186</v>
      </c>
      <c r="AK118" t="s">
        <v>187</v>
      </c>
      <c r="AL118" t="s">
        <v>187</v>
      </c>
      <c r="AM118" t="s">
        <v>188</v>
      </c>
      <c r="AN118" t="s">
        <v>189</v>
      </c>
      <c r="AO118" t="s">
        <v>6</v>
      </c>
      <c r="AP118" t="s">
        <v>9</v>
      </c>
      <c r="AQ118" t="s">
        <v>53</v>
      </c>
      <c r="AR118" t="s">
        <v>190</v>
      </c>
      <c r="AS118" t="s">
        <v>174</v>
      </c>
      <c r="AT118" t="s">
        <v>191</v>
      </c>
    </row>
    <row r="119" spans="1:46" ht="105" x14ac:dyDescent="0.25">
      <c r="A119" s="5">
        <v>46063.600104166668</v>
      </c>
      <c r="B119" t="s">
        <v>770</v>
      </c>
      <c r="C119" t="s">
        <v>173</v>
      </c>
      <c r="D119" t="s">
        <v>174</v>
      </c>
      <c r="E119" t="s">
        <v>147</v>
      </c>
      <c r="H119" t="s">
        <v>175</v>
      </c>
      <c r="I119" t="s">
        <v>176</v>
      </c>
      <c r="J119" t="s">
        <v>5</v>
      </c>
      <c r="K119" t="s">
        <v>177</v>
      </c>
      <c r="L119" s="6" t="s">
        <v>771</v>
      </c>
      <c r="M119" t="s">
        <v>7</v>
      </c>
      <c r="N119" t="s">
        <v>772</v>
      </c>
      <c r="O119" t="s">
        <v>773</v>
      </c>
      <c r="P119" t="s">
        <v>774</v>
      </c>
      <c r="R119" t="s">
        <v>175</v>
      </c>
      <c r="S119" t="s">
        <v>176</v>
      </c>
      <c r="T119" t="s">
        <v>5</v>
      </c>
      <c r="U119" t="s">
        <v>177</v>
      </c>
      <c r="V119">
        <v>1</v>
      </c>
      <c r="W119" t="s">
        <v>182</v>
      </c>
      <c r="X119" t="s">
        <v>183</v>
      </c>
      <c r="Z119" t="s">
        <v>184</v>
      </c>
      <c r="AF119">
        <v>45992.791666666701</v>
      </c>
      <c r="AI119" t="s">
        <v>185</v>
      </c>
      <c r="AJ119" t="s">
        <v>186</v>
      </c>
      <c r="AK119" t="s">
        <v>187</v>
      </c>
      <c r="AL119" t="s">
        <v>187</v>
      </c>
      <c r="AM119" t="s">
        <v>188</v>
      </c>
      <c r="AN119" t="s">
        <v>189</v>
      </c>
      <c r="AO119" t="s">
        <v>6</v>
      </c>
      <c r="AP119" t="s">
        <v>9</v>
      </c>
      <c r="AQ119" t="s">
        <v>53</v>
      </c>
      <c r="AR119" t="s">
        <v>190</v>
      </c>
      <c r="AS119" t="s">
        <v>174</v>
      </c>
      <c r="AT119" t="s">
        <v>191</v>
      </c>
    </row>
    <row r="120" spans="1:46" ht="105" x14ac:dyDescent="0.25">
      <c r="A120" s="5">
        <v>46063.604745370372</v>
      </c>
      <c r="B120" t="s">
        <v>775</v>
      </c>
      <c r="C120" t="s">
        <v>173</v>
      </c>
      <c r="D120" t="s">
        <v>174</v>
      </c>
      <c r="E120" t="s">
        <v>147</v>
      </c>
      <c r="H120" t="s">
        <v>175</v>
      </c>
      <c r="I120" t="s">
        <v>176</v>
      </c>
      <c r="J120" t="s">
        <v>5</v>
      </c>
      <c r="K120" t="s">
        <v>177</v>
      </c>
      <c r="L120" s="6" t="s">
        <v>776</v>
      </c>
      <c r="M120" t="s">
        <v>7</v>
      </c>
      <c r="N120" t="s">
        <v>777</v>
      </c>
      <c r="O120" t="s">
        <v>778</v>
      </c>
      <c r="P120" t="s">
        <v>779</v>
      </c>
      <c r="R120" t="s">
        <v>175</v>
      </c>
      <c r="S120" t="s">
        <v>176</v>
      </c>
      <c r="T120" t="s">
        <v>5</v>
      </c>
      <c r="U120" t="s">
        <v>177</v>
      </c>
      <c r="V120">
        <v>1</v>
      </c>
      <c r="W120" t="s">
        <v>182</v>
      </c>
      <c r="X120" t="s">
        <v>183</v>
      </c>
      <c r="Z120" t="s">
        <v>184</v>
      </c>
      <c r="AF120">
        <v>45986.791666666701</v>
      </c>
      <c r="AI120" t="s">
        <v>185</v>
      </c>
      <c r="AJ120" t="s">
        <v>186</v>
      </c>
      <c r="AK120" t="s">
        <v>187</v>
      </c>
      <c r="AL120" t="s">
        <v>187</v>
      </c>
      <c r="AM120" t="s">
        <v>188</v>
      </c>
      <c r="AN120" t="s">
        <v>189</v>
      </c>
      <c r="AO120" t="s">
        <v>6</v>
      </c>
      <c r="AP120" t="s">
        <v>9</v>
      </c>
      <c r="AQ120" t="s">
        <v>53</v>
      </c>
      <c r="AR120" t="s">
        <v>190</v>
      </c>
      <c r="AS120" t="s">
        <v>174</v>
      </c>
      <c r="AT120" t="s">
        <v>191</v>
      </c>
    </row>
    <row r="121" spans="1:46" ht="105" x14ac:dyDescent="0.25">
      <c r="A121" s="5">
        <v>46063.609710648147</v>
      </c>
      <c r="B121" t="s">
        <v>780</v>
      </c>
      <c r="C121" t="s">
        <v>173</v>
      </c>
      <c r="D121" t="s">
        <v>174</v>
      </c>
      <c r="E121" t="s">
        <v>147</v>
      </c>
      <c r="H121" t="s">
        <v>175</v>
      </c>
      <c r="I121" t="s">
        <v>176</v>
      </c>
      <c r="J121" t="s">
        <v>5</v>
      </c>
      <c r="K121" t="s">
        <v>177</v>
      </c>
      <c r="L121" s="6" t="s">
        <v>781</v>
      </c>
      <c r="M121" t="s">
        <v>7</v>
      </c>
      <c r="N121" t="s">
        <v>782</v>
      </c>
      <c r="O121" t="s">
        <v>783</v>
      </c>
      <c r="P121" t="s">
        <v>784</v>
      </c>
      <c r="R121" t="s">
        <v>175</v>
      </c>
      <c r="S121" t="s">
        <v>176</v>
      </c>
      <c r="T121" t="s">
        <v>5</v>
      </c>
      <c r="U121" t="s">
        <v>177</v>
      </c>
      <c r="V121">
        <v>1</v>
      </c>
      <c r="W121" t="s">
        <v>182</v>
      </c>
      <c r="X121" t="s">
        <v>183</v>
      </c>
      <c r="Z121" t="s">
        <v>184</v>
      </c>
      <c r="AF121">
        <v>45986.791666666701</v>
      </c>
      <c r="AI121" t="s">
        <v>185</v>
      </c>
      <c r="AJ121" t="s">
        <v>186</v>
      </c>
      <c r="AK121" t="s">
        <v>187</v>
      </c>
      <c r="AL121" t="s">
        <v>187</v>
      </c>
      <c r="AM121" t="s">
        <v>188</v>
      </c>
      <c r="AN121" t="s">
        <v>189</v>
      </c>
      <c r="AO121" t="s">
        <v>6</v>
      </c>
      <c r="AP121" t="s">
        <v>9</v>
      </c>
      <c r="AQ121" t="s">
        <v>53</v>
      </c>
      <c r="AR121" t="s">
        <v>190</v>
      </c>
      <c r="AS121" t="s">
        <v>174</v>
      </c>
      <c r="AT121" t="s">
        <v>191</v>
      </c>
    </row>
    <row r="122" spans="1:46" ht="105" x14ac:dyDescent="0.25">
      <c r="A122" s="5">
        <v>46063.61791666667</v>
      </c>
      <c r="B122" t="s">
        <v>785</v>
      </c>
      <c r="C122" t="s">
        <v>173</v>
      </c>
      <c r="D122" t="s">
        <v>174</v>
      </c>
      <c r="E122" t="s">
        <v>147</v>
      </c>
      <c r="H122" t="s">
        <v>175</v>
      </c>
      <c r="I122" t="s">
        <v>176</v>
      </c>
      <c r="J122" t="s">
        <v>5</v>
      </c>
      <c r="K122" t="s">
        <v>177</v>
      </c>
      <c r="L122" s="6" t="s">
        <v>786</v>
      </c>
      <c r="M122" t="s">
        <v>21</v>
      </c>
      <c r="N122" t="s">
        <v>787</v>
      </c>
      <c r="O122" t="s">
        <v>788</v>
      </c>
      <c r="P122" t="s">
        <v>789</v>
      </c>
      <c r="R122" t="s">
        <v>175</v>
      </c>
      <c r="S122" t="s">
        <v>176</v>
      </c>
      <c r="T122" t="s">
        <v>5</v>
      </c>
      <c r="U122" t="s">
        <v>177</v>
      </c>
      <c r="V122">
        <v>1</v>
      </c>
      <c r="W122" t="s">
        <v>182</v>
      </c>
      <c r="X122" t="s">
        <v>183</v>
      </c>
      <c r="Z122" t="s">
        <v>184</v>
      </c>
      <c r="AF122">
        <v>45995.791666666701</v>
      </c>
      <c r="AI122" t="s">
        <v>185</v>
      </c>
      <c r="AJ122" t="s">
        <v>186</v>
      </c>
      <c r="AK122" t="s">
        <v>187</v>
      </c>
      <c r="AL122" t="s">
        <v>187</v>
      </c>
      <c r="AM122" t="s">
        <v>188</v>
      </c>
      <c r="AN122" t="s">
        <v>189</v>
      </c>
      <c r="AO122" t="s">
        <v>6</v>
      </c>
      <c r="AP122" t="s">
        <v>9</v>
      </c>
      <c r="AQ122" t="s">
        <v>53</v>
      </c>
      <c r="AR122" t="s">
        <v>190</v>
      </c>
      <c r="AS122" t="s">
        <v>174</v>
      </c>
      <c r="AT122" t="s">
        <v>191</v>
      </c>
    </row>
    <row r="123" spans="1:46" ht="105" x14ac:dyDescent="0.25">
      <c r="A123" s="5">
        <v>46063.623055555552</v>
      </c>
      <c r="B123" t="s">
        <v>790</v>
      </c>
      <c r="C123" t="s">
        <v>173</v>
      </c>
      <c r="D123" t="s">
        <v>174</v>
      </c>
      <c r="E123" t="s">
        <v>147</v>
      </c>
      <c r="H123" t="s">
        <v>175</v>
      </c>
      <c r="I123" t="s">
        <v>176</v>
      </c>
      <c r="J123" t="s">
        <v>5</v>
      </c>
      <c r="K123" t="s">
        <v>177</v>
      </c>
      <c r="L123" s="6" t="s">
        <v>791</v>
      </c>
      <c r="M123" t="s">
        <v>21</v>
      </c>
      <c r="N123" t="s">
        <v>792</v>
      </c>
      <c r="O123" t="s">
        <v>793</v>
      </c>
      <c r="P123" t="s">
        <v>794</v>
      </c>
      <c r="R123" t="s">
        <v>175</v>
      </c>
      <c r="S123" t="s">
        <v>176</v>
      </c>
      <c r="T123" t="s">
        <v>5</v>
      </c>
      <c r="U123" t="s">
        <v>177</v>
      </c>
      <c r="V123">
        <v>1</v>
      </c>
      <c r="W123" t="s">
        <v>182</v>
      </c>
      <c r="X123" t="s">
        <v>183</v>
      </c>
      <c r="Z123" t="s">
        <v>184</v>
      </c>
      <c r="AF123">
        <v>45995.791666666701</v>
      </c>
      <c r="AI123" t="s">
        <v>185</v>
      </c>
      <c r="AJ123" t="s">
        <v>186</v>
      </c>
      <c r="AK123" t="s">
        <v>187</v>
      </c>
      <c r="AL123" t="s">
        <v>187</v>
      </c>
      <c r="AM123" t="s">
        <v>188</v>
      </c>
      <c r="AN123" t="s">
        <v>189</v>
      </c>
      <c r="AO123" t="s">
        <v>6</v>
      </c>
      <c r="AP123" t="s">
        <v>9</v>
      </c>
      <c r="AQ123" t="s">
        <v>53</v>
      </c>
      <c r="AR123" t="s">
        <v>190</v>
      </c>
      <c r="AS123" t="s">
        <v>174</v>
      </c>
      <c r="AT123" t="s">
        <v>191</v>
      </c>
    </row>
    <row r="124" spans="1:46" ht="105" x14ac:dyDescent="0.25">
      <c r="A124" s="5">
        <v>46078.483194444445</v>
      </c>
      <c r="B124" t="s">
        <v>795</v>
      </c>
      <c r="C124" t="s">
        <v>173</v>
      </c>
      <c r="D124" t="s">
        <v>174</v>
      </c>
      <c r="E124" t="s">
        <v>147</v>
      </c>
      <c r="H124" t="s">
        <v>175</v>
      </c>
      <c r="I124" t="s">
        <v>176</v>
      </c>
      <c r="J124" t="s">
        <v>5</v>
      </c>
      <c r="K124" t="s">
        <v>177</v>
      </c>
      <c r="L124" s="6" t="s">
        <v>796</v>
      </c>
      <c r="M124" t="s">
        <v>7</v>
      </c>
      <c r="N124" t="s">
        <v>797</v>
      </c>
      <c r="O124" t="s">
        <v>798</v>
      </c>
      <c r="P124" t="s">
        <v>799</v>
      </c>
      <c r="R124" t="s">
        <v>175</v>
      </c>
      <c r="S124" t="s">
        <v>176</v>
      </c>
      <c r="T124" t="s">
        <v>5</v>
      </c>
      <c r="U124" t="s">
        <v>177</v>
      </c>
      <c r="V124">
        <v>1</v>
      </c>
      <c r="W124" t="s">
        <v>182</v>
      </c>
      <c r="X124" t="s">
        <v>183</v>
      </c>
      <c r="Z124" t="s">
        <v>184</v>
      </c>
      <c r="AF124">
        <v>45977.791666666701</v>
      </c>
      <c r="AI124" t="s">
        <v>185</v>
      </c>
      <c r="AJ124" t="s">
        <v>186</v>
      </c>
      <c r="AK124" t="s">
        <v>187</v>
      </c>
      <c r="AL124" t="s">
        <v>187</v>
      </c>
      <c r="AM124" t="s">
        <v>188</v>
      </c>
      <c r="AN124" t="s">
        <v>189</v>
      </c>
      <c r="AO124" t="s">
        <v>6</v>
      </c>
      <c r="AP124" t="s">
        <v>9</v>
      </c>
      <c r="AQ124" t="s">
        <v>53</v>
      </c>
      <c r="AR124" t="s">
        <v>190</v>
      </c>
      <c r="AS124" t="s">
        <v>174</v>
      </c>
      <c r="AT124" t="s">
        <v>191</v>
      </c>
    </row>
    <row r="125" spans="1:46" ht="180" x14ac:dyDescent="0.25">
      <c r="A125" s="5">
        <v>46071.590856481482</v>
      </c>
      <c r="B125" t="s">
        <v>800</v>
      </c>
      <c r="C125" t="s">
        <v>173</v>
      </c>
      <c r="D125" t="s">
        <v>174</v>
      </c>
      <c r="E125" t="s">
        <v>147</v>
      </c>
      <c r="H125" t="s">
        <v>175</v>
      </c>
      <c r="I125" t="s">
        <v>176</v>
      </c>
      <c r="J125" t="s">
        <v>5</v>
      </c>
      <c r="K125" t="s">
        <v>177</v>
      </c>
      <c r="L125" s="6" t="s">
        <v>801</v>
      </c>
      <c r="M125" t="s">
        <v>7</v>
      </c>
      <c r="N125" t="s">
        <v>802</v>
      </c>
      <c r="O125" t="s">
        <v>803</v>
      </c>
      <c r="P125" t="s">
        <v>804</v>
      </c>
      <c r="R125" t="s">
        <v>175</v>
      </c>
      <c r="S125" t="s">
        <v>176</v>
      </c>
      <c r="T125" t="s">
        <v>5</v>
      </c>
      <c r="U125" t="s">
        <v>177</v>
      </c>
      <c r="V125">
        <v>1</v>
      </c>
      <c r="W125" t="s">
        <v>182</v>
      </c>
      <c r="X125" t="s">
        <v>183</v>
      </c>
      <c r="Z125" t="s">
        <v>184</v>
      </c>
      <c r="AF125">
        <v>45817.833333333299</v>
      </c>
      <c r="AI125" t="s">
        <v>185</v>
      </c>
      <c r="AJ125" t="s">
        <v>186</v>
      </c>
      <c r="AK125" t="s">
        <v>187</v>
      </c>
      <c r="AL125" t="s">
        <v>187</v>
      </c>
      <c r="AM125" t="s">
        <v>188</v>
      </c>
      <c r="AN125" t="s">
        <v>189</v>
      </c>
      <c r="AO125" t="s">
        <v>6</v>
      </c>
      <c r="AP125" t="s">
        <v>9</v>
      </c>
      <c r="AQ125" t="s">
        <v>53</v>
      </c>
      <c r="AR125" t="s">
        <v>190</v>
      </c>
      <c r="AS125" t="s">
        <v>174</v>
      </c>
      <c r="AT125" t="s">
        <v>191</v>
      </c>
    </row>
    <row r="126" spans="1:46" ht="45" x14ac:dyDescent="0.25">
      <c r="A126" s="5">
        <v>46063.427789351852</v>
      </c>
      <c r="B126" t="s">
        <v>805</v>
      </c>
      <c r="C126" t="s">
        <v>173</v>
      </c>
      <c r="D126" t="s">
        <v>198</v>
      </c>
      <c r="E126" t="s">
        <v>199</v>
      </c>
      <c r="H126" t="s">
        <v>175</v>
      </c>
      <c r="I126" t="s">
        <v>176</v>
      </c>
      <c r="J126" t="s">
        <v>5</v>
      </c>
      <c r="K126" t="s">
        <v>200</v>
      </c>
      <c r="L126" s="6" t="s">
        <v>806</v>
      </c>
      <c r="M126" t="s">
        <v>125</v>
      </c>
      <c r="N126" t="s">
        <v>807</v>
      </c>
      <c r="O126" t="s">
        <v>808</v>
      </c>
      <c r="P126" t="s">
        <v>809</v>
      </c>
      <c r="R126" t="s">
        <v>175</v>
      </c>
      <c r="S126" t="s">
        <v>176</v>
      </c>
      <c r="T126" t="s">
        <v>5</v>
      </c>
      <c r="U126" t="s">
        <v>200</v>
      </c>
      <c r="V126">
        <v>1</v>
      </c>
      <c r="W126" t="s">
        <v>810</v>
      </c>
      <c r="X126" t="s">
        <v>810</v>
      </c>
      <c r="Z126" t="s">
        <v>811</v>
      </c>
      <c r="AF126">
        <v>45994.791666666701</v>
      </c>
      <c r="AI126" t="s">
        <v>185</v>
      </c>
      <c r="AJ126" t="s">
        <v>186</v>
      </c>
      <c r="AK126" t="s">
        <v>207</v>
      </c>
      <c r="AL126" t="s">
        <v>207</v>
      </c>
      <c r="AM126" t="s">
        <v>208</v>
      </c>
      <c r="AN126" t="s">
        <v>189</v>
      </c>
      <c r="AO126" t="e">
        <v>#VALUE!</v>
      </c>
      <c r="AP126" t="e">
        <v>#VALUE!</v>
      </c>
      <c r="AQ126" t="s">
        <v>53</v>
      </c>
      <c r="AR126" t="s">
        <v>190</v>
      </c>
      <c r="AS126" t="s">
        <v>198</v>
      </c>
      <c r="AT126" t="s">
        <v>347</v>
      </c>
    </row>
    <row r="127" spans="1:46" ht="120" x14ac:dyDescent="0.25">
      <c r="A127" s="5">
        <v>46077.603541666664</v>
      </c>
      <c r="B127" t="s">
        <v>812</v>
      </c>
      <c r="C127" t="s">
        <v>173</v>
      </c>
      <c r="D127" t="s">
        <v>174</v>
      </c>
      <c r="E127" t="s">
        <v>147</v>
      </c>
      <c r="H127" t="s">
        <v>175</v>
      </c>
      <c r="I127" t="s">
        <v>176</v>
      </c>
      <c r="J127" t="s">
        <v>5</v>
      </c>
      <c r="K127" t="s">
        <v>177</v>
      </c>
      <c r="L127" s="6" t="s">
        <v>813</v>
      </c>
      <c r="M127" t="s">
        <v>73</v>
      </c>
      <c r="N127" t="s">
        <v>814</v>
      </c>
      <c r="O127" t="s">
        <v>815</v>
      </c>
      <c r="P127" t="s">
        <v>816</v>
      </c>
      <c r="R127" t="s">
        <v>175</v>
      </c>
      <c r="S127" t="s">
        <v>176</v>
      </c>
      <c r="T127" t="s">
        <v>5</v>
      </c>
      <c r="U127" t="s">
        <v>177</v>
      </c>
      <c r="V127">
        <v>1</v>
      </c>
      <c r="W127" t="s">
        <v>182</v>
      </c>
      <c r="X127" t="s">
        <v>183</v>
      </c>
      <c r="Z127" t="s">
        <v>184</v>
      </c>
      <c r="AF127">
        <v>45922.833333333299</v>
      </c>
      <c r="AI127" t="s">
        <v>185</v>
      </c>
      <c r="AJ127" t="s">
        <v>186</v>
      </c>
      <c r="AK127" t="s">
        <v>187</v>
      </c>
      <c r="AL127" t="s">
        <v>187</v>
      </c>
      <c r="AM127" t="s">
        <v>188</v>
      </c>
      <c r="AN127" t="s">
        <v>189</v>
      </c>
      <c r="AO127" t="s">
        <v>6</v>
      </c>
      <c r="AP127" t="s">
        <v>9</v>
      </c>
      <c r="AQ127" t="s">
        <v>53</v>
      </c>
      <c r="AR127" t="s">
        <v>190</v>
      </c>
      <c r="AS127" t="s">
        <v>174</v>
      </c>
      <c r="AT127" t="s">
        <v>191</v>
      </c>
    </row>
    <row r="128" spans="1:46" ht="120" x14ac:dyDescent="0.25">
      <c r="A128" s="5">
        <v>46072.547743055555</v>
      </c>
      <c r="B128" t="s">
        <v>817</v>
      </c>
      <c r="C128" t="s">
        <v>173</v>
      </c>
      <c r="D128" t="s">
        <v>174</v>
      </c>
      <c r="E128" t="s">
        <v>184</v>
      </c>
      <c r="H128" t="s">
        <v>175</v>
      </c>
      <c r="I128" t="s">
        <v>176</v>
      </c>
      <c r="J128" t="s">
        <v>5</v>
      </c>
      <c r="K128" t="s">
        <v>200</v>
      </c>
      <c r="L128" s="6" t="s">
        <v>818</v>
      </c>
      <c r="M128" t="s">
        <v>106</v>
      </c>
      <c r="N128" t="s">
        <v>819</v>
      </c>
      <c r="O128" t="s">
        <v>820</v>
      </c>
      <c r="P128" t="s">
        <v>821</v>
      </c>
      <c r="AJ128" t="s">
        <v>186</v>
      </c>
      <c r="AK128" t="s">
        <v>822</v>
      </c>
      <c r="AL128" t="s">
        <v>822</v>
      </c>
      <c r="AM128" t="s">
        <v>208</v>
      </c>
      <c r="AN128" t="s">
        <v>189</v>
      </c>
      <c r="AO128" t="s">
        <v>53</v>
      </c>
      <c r="AP128" t="s">
        <v>53</v>
      </c>
      <c r="AQ128" t="s">
        <v>53</v>
      </c>
      <c r="AR128" t="s">
        <v>190</v>
      </c>
      <c r="AS128" t="s">
        <v>174</v>
      </c>
      <c r="AT128" t="s">
        <v>347</v>
      </c>
    </row>
    <row r="129" spans="1:46" ht="120" x14ac:dyDescent="0.25">
      <c r="A129" s="5">
        <v>46077.609027777777</v>
      </c>
      <c r="B129" t="s">
        <v>823</v>
      </c>
      <c r="C129" t="s">
        <v>173</v>
      </c>
      <c r="D129" t="s">
        <v>174</v>
      </c>
      <c r="E129" t="s">
        <v>147</v>
      </c>
      <c r="H129" t="s">
        <v>175</v>
      </c>
      <c r="I129" t="s">
        <v>176</v>
      </c>
      <c r="J129" t="s">
        <v>5</v>
      </c>
      <c r="K129" t="s">
        <v>177</v>
      </c>
      <c r="L129" s="6" t="s">
        <v>824</v>
      </c>
      <c r="M129" t="s">
        <v>73</v>
      </c>
      <c r="N129" t="s">
        <v>825</v>
      </c>
      <c r="O129" t="s">
        <v>826</v>
      </c>
      <c r="P129" t="s">
        <v>827</v>
      </c>
      <c r="R129" t="s">
        <v>175</v>
      </c>
      <c r="S129" t="s">
        <v>176</v>
      </c>
      <c r="T129" t="s">
        <v>5</v>
      </c>
      <c r="U129" t="s">
        <v>177</v>
      </c>
      <c r="V129">
        <v>1</v>
      </c>
      <c r="W129" t="s">
        <v>182</v>
      </c>
      <c r="X129" t="s">
        <v>183</v>
      </c>
      <c r="Z129" t="s">
        <v>184</v>
      </c>
      <c r="AF129">
        <v>45958.833333333299</v>
      </c>
      <c r="AI129" t="s">
        <v>185</v>
      </c>
      <c r="AJ129" t="s">
        <v>186</v>
      </c>
      <c r="AK129" t="s">
        <v>187</v>
      </c>
      <c r="AL129" t="s">
        <v>187</v>
      </c>
      <c r="AM129" t="s">
        <v>188</v>
      </c>
      <c r="AN129" t="s">
        <v>189</v>
      </c>
      <c r="AO129" t="s">
        <v>6</v>
      </c>
      <c r="AP129" t="s">
        <v>9</v>
      </c>
      <c r="AQ129" t="s">
        <v>53</v>
      </c>
      <c r="AR129" t="s">
        <v>190</v>
      </c>
      <c r="AS129" t="s">
        <v>174</v>
      </c>
      <c r="AT129" t="s">
        <v>191</v>
      </c>
    </row>
    <row r="130" spans="1:46" ht="135" x14ac:dyDescent="0.25">
      <c r="A130" s="5">
        <v>46077.636666666665</v>
      </c>
      <c r="B130" t="s">
        <v>828</v>
      </c>
      <c r="C130" t="s">
        <v>173</v>
      </c>
      <c r="D130" t="s">
        <v>174</v>
      </c>
      <c r="E130" t="s">
        <v>147</v>
      </c>
      <c r="H130" t="s">
        <v>175</v>
      </c>
      <c r="I130" t="s">
        <v>176</v>
      </c>
      <c r="J130" t="s">
        <v>5</v>
      </c>
      <c r="K130" t="s">
        <v>177</v>
      </c>
      <c r="L130" s="6" t="s">
        <v>829</v>
      </c>
      <c r="M130" t="s">
        <v>7</v>
      </c>
      <c r="N130" t="s">
        <v>830</v>
      </c>
      <c r="O130" t="s">
        <v>831</v>
      </c>
      <c r="P130" t="s">
        <v>832</v>
      </c>
      <c r="R130" t="s">
        <v>175</v>
      </c>
      <c r="S130" t="s">
        <v>176</v>
      </c>
      <c r="T130" t="s">
        <v>5</v>
      </c>
      <c r="U130" t="s">
        <v>177</v>
      </c>
      <c r="V130">
        <v>1</v>
      </c>
      <c r="W130" t="s">
        <v>182</v>
      </c>
      <c r="X130" t="s">
        <v>183</v>
      </c>
      <c r="Z130" t="s">
        <v>184</v>
      </c>
      <c r="AF130">
        <v>45974.791666666701</v>
      </c>
      <c r="AI130" t="s">
        <v>185</v>
      </c>
      <c r="AJ130" t="s">
        <v>186</v>
      </c>
      <c r="AK130" t="s">
        <v>187</v>
      </c>
      <c r="AL130" t="s">
        <v>187</v>
      </c>
      <c r="AM130" t="s">
        <v>188</v>
      </c>
      <c r="AN130" t="s">
        <v>189</v>
      </c>
      <c r="AO130" t="s">
        <v>6</v>
      </c>
      <c r="AP130" t="s">
        <v>9</v>
      </c>
      <c r="AQ130" t="s">
        <v>53</v>
      </c>
      <c r="AR130" t="s">
        <v>190</v>
      </c>
      <c r="AS130" t="s">
        <v>174</v>
      </c>
      <c r="AT130" t="s">
        <v>191</v>
      </c>
    </row>
    <row r="131" spans="1:46" ht="135" x14ac:dyDescent="0.25">
      <c r="A131" s="5">
        <v>46077.642326388886</v>
      </c>
      <c r="B131" t="s">
        <v>833</v>
      </c>
      <c r="C131" t="s">
        <v>173</v>
      </c>
      <c r="D131" t="s">
        <v>174</v>
      </c>
      <c r="E131" t="s">
        <v>147</v>
      </c>
      <c r="H131" t="s">
        <v>175</v>
      </c>
      <c r="I131" t="s">
        <v>176</v>
      </c>
      <c r="J131" t="s">
        <v>5</v>
      </c>
      <c r="K131" t="s">
        <v>177</v>
      </c>
      <c r="L131" s="6" t="s">
        <v>834</v>
      </c>
      <c r="M131" t="s">
        <v>7</v>
      </c>
      <c r="N131" t="s">
        <v>835</v>
      </c>
      <c r="O131" t="s">
        <v>836</v>
      </c>
      <c r="P131" t="s">
        <v>837</v>
      </c>
      <c r="R131" t="s">
        <v>175</v>
      </c>
      <c r="S131" t="s">
        <v>176</v>
      </c>
      <c r="T131" t="s">
        <v>5</v>
      </c>
      <c r="U131" t="s">
        <v>177</v>
      </c>
      <c r="V131">
        <v>1</v>
      </c>
      <c r="W131" t="s">
        <v>182</v>
      </c>
      <c r="X131" t="s">
        <v>183</v>
      </c>
      <c r="Z131" t="s">
        <v>184</v>
      </c>
      <c r="AF131">
        <v>45991.791666666701</v>
      </c>
      <c r="AI131" t="s">
        <v>185</v>
      </c>
      <c r="AJ131" t="s">
        <v>186</v>
      </c>
      <c r="AK131" t="s">
        <v>187</v>
      </c>
      <c r="AL131" t="s">
        <v>187</v>
      </c>
      <c r="AM131" t="s">
        <v>188</v>
      </c>
      <c r="AN131" t="s">
        <v>189</v>
      </c>
      <c r="AO131" t="s">
        <v>6</v>
      </c>
      <c r="AP131" t="s">
        <v>9</v>
      </c>
      <c r="AQ131" t="s">
        <v>53</v>
      </c>
      <c r="AR131" t="s">
        <v>190</v>
      </c>
      <c r="AS131" t="s">
        <v>174</v>
      </c>
      <c r="AT131" t="s">
        <v>191</v>
      </c>
    </row>
    <row r="132" spans="1:46" ht="135" x14ac:dyDescent="0.25">
      <c r="A132" s="5">
        <v>46077.647291666668</v>
      </c>
      <c r="B132" t="s">
        <v>838</v>
      </c>
      <c r="C132" t="s">
        <v>173</v>
      </c>
      <c r="D132" t="s">
        <v>174</v>
      </c>
      <c r="E132" t="s">
        <v>147</v>
      </c>
      <c r="H132" t="s">
        <v>175</v>
      </c>
      <c r="I132" t="s">
        <v>176</v>
      </c>
      <c r="J132" t="s">
        <v>5</v>
      </c>
      <c r="K132" t="s">
        <v>177</v>
      </c>
      <c r="L132" s="6" t="s">
        <v>839</v>
      </c>
      <c r="M132" t="s">
        <v>7</v>
      </c>
      <c r="N132" t="s">
        <v>840</v>
      </c>
      <c r="O132" t="s">
        <v>841</v>
      </c>
      <c r="P132" t="s">
        <v>842</v>
      </c>
      <c r="R132" t="s">
        <v>175</v>
      </c>
      <c r="S132" t="s">
        <v>176</v>
      </c>
      <c r="T132" t="s">
        <v>5</v>
      </c>
      <c r="U132" t="s">
        <v>177</v>
      </c>
      <c r="V132">
        <v>1</v>
      </c>
      <c r="W132" t="s">
        <v>182</v>
      </c>
      <c r="X132" t="s">
        <v>183</v>
      </c>
      <c r="Z132" t="s">
        <v>184</v>
      </c>
      <c r="AF132">
        <v>45999.791666666701</v>
      </c>
      <c r="AI132" t="s">
        <v>185</v>
      </c>
      <c r="AJ132" t="s">
        <v>186</v>
      </c>
      <c r="AK132" t="s">
        <v>187</v>
      </c>
      <c r="AL132" t="s">
        <v>187</v>
      </c>
      <c r="AM132" t="s">
        <v>188</v>
      </c>
      <c r="AN132" t="s">
        <v>189</v>
      </c>
      <c r="AO132" t="s">
        <v>6</v>
      </c>
      <c r="AP132" t="s">
        <v>9</v>
      </c>
      <c r="AQ132" t="s">
        <v>53</v>
      </c>
      <c r="AR132" t="s">
        <v>190</v>
      </c>
      <c r="AS132" t="s">
        <v>174</v>
      </c>
      <c r="AT132" t="s">
        <v>191</v>
      </c>
    </row>
    <row r="133" spans="1:46" ht="135" x14ac:dyDescent="0.25">
      <c r="A133" s="5">
        <v>46058.480879629627</v>
      </c>
      <c r="B133" t="s">
        <v>843</v>
      </c>
      <c r="C133" t="s">
        <v>173</v>
      </c>
      <c r="D133" t="s">
        <v>198</v>
      </c>
      <c r="E133" t="s">
        <v>844</v>
      </c>
      <c r="H133" t="s">
        <v>175</v>
      </c>
      <c r="I133" t="s">
        <v>176</v>
      </c>
      <c r="J133" t="s">
        <v>5</v>
      </c>
      <c r="K133" t="s">
        <v>200</v>
      </c>
      <c r="L133" s="6" t="s">
        <v>845</v>
      </c>
      <c r="M133" t="s">
        <v>99</v>
      </c>
      <c r="N133" t="s">
        <v>846</v>
      </c>
      <c r="O133" t="s">
        <v>847</v>
      </c>
      <c r="P133" t="s">
        <v>848</v>
      </c>
      <c r="W133" t="s">
        <v>849</v>
      </c>
      <c r="X133" t="s">
        <v>850</v>
      </c>
      <c r="AI133" t="s">
        <v>185</v>
      </c>
      <c r="AJ133" t="s">
        <v>186</v>
      </c>
      <c r="AK133" t="s">
        <v>333</v>
      </c>
      <c r="AL133" t="s">
        <v>346</v>
      </c>
      <c r="AM133" t="s">
        <v>208</v>
      </c>
      <c r="AN133" t="s">
        <v>189</v>
      </c>
      <c r="AO133" t="s">
        <v>77</v>
      </c>
      <c r="AP133" t="s">
        <v>79</v>
      </c>
      <c r="AQ133" t="s">
        <v>53</v>
      </c>
      <c r="AR133" t="s">
        <v>190</v>
      </c>
      <c r="AS133" t="s">
        <v>198</v>
      </c>
      <c r="AT133" t="s">
        <v>347</v>
      </c>
    </row>
    <row r="134" spans="1:46" ht="90" x14ac:dyDescent="0.25">
      <c r="A134" s="5">
        <v>46055.691446759258</v>
      </c>
      <c r="B134" t="s">
        <v>851</v>
      </c>
      <c r="C134" t="s">
        <v>173</v>
      </c>
      <c r="D134" t="s">
        <v>174</v>
      </c>
      <c r="E134" t="s">
        <v>210</v>
      </c>
      <c r="G134" t="s">
        <v>392</v>
      </c>
      <c r="H134" t="s">
        <v>175</v>
      </c>
      <c r="I134" t="s">
        <v>176</v>
      </c>
      <c r="J134" t="s">
        <v>5</v>
      </c>
      <c r="K134" t="s">
        <v>200</v>
      </c>
      <c r="L134" s="6" t="s">
        <v>852</v>
      </c>
      <c r="M134" t="s">
        <v>82</v>
      </c>
      <c r="N134" t="s">
        <v>853</v>
      </c>
      <c r="O134" t="s">
        <v>854</v>
      </c>
      <c r="P134" t="s">
        <v>855</v>
      </c>
      <c r="Q134">
        <v>4</v>
      </c>
      <c r="R134" t="s">
        <v>175</v>
      </c>
      <c r="S134" t="s">
        <v>176</v>
      </c>
      <c r="T134" t="s">
        <v>5</v>
      </c>
      <c r="U134" t="s">
        <v>200</v>
      </c>
      <c r="V134">
        <v>1</v>
      </c>
      <c r="W134" t="s">
        <v>397</v>
      </c>
      <c r="X134" t="s">
        <v>398</v>
      </c>
      <c r="Z134" t="s">
        <v>191</v>
      </c>
      <c r="AB134" t="s">
        <v>856</v>
      </c>
      <c r="AC134" t="s">
        <v>400</v>
      </c>
      <c r="AF134">
        <v>45802.833333333299</v>
      </c>
      <c r="AI134" t="s">
        <v>220</v>
      </c>
      <c r="AJ134" t="s">
        <v>186</v>
      </c>
      <c r="AK134" t="s">
        <v>207</v>
      </c>
      <c r="AL134" t="s">
        <v>207</v>
      </c>
      <c r="AM134" t="s">
        <v>208</v>
      </c>
      <c r="AN134" t="s">
        <v>189</v>
      </c>
      <c r="AO134" t="s">
        <v>27</v>
      </c>
      <c r="AP134" t="s">
        <v>33</v>
      </c>
      <c r="AQ134" t="s">
        <v>53</v>
      </c>
      <c r="AR134" t="s">
        <v>190</v>
      </c>
      <c r="AS134" t="s">
        <v>174</v>
      </c>
      <c r="AT134" t="s">
        <v>191</v>
      </c>
    </row>
    <row r="135" spans="1:46" ht="105" x14ac:dyDescent="0.25">
      <c r="A135" s="5">
        <v>46070.476446759261</v>
      </c>
      <c r="B135" t="s">
        <v>857</v>
      </c>
      <c r="C135" t="s">
        <v>173</v>
      </c>
      <c r="D135" t="s">
        <v>174</v>
      </c>
      <c r="E135" t="s">
        <v>147</v>
      </c>
      <c r="H135" t="s">
        <v>175</v>
      </c>
      <c r="I135" t="s">
        <v>176</v>
      </c>
      <c r="J135" t="s">
        <v>5</v>
      </c>
      <c r="K135" t="s">
        <v>177</v>
      </c>
      <c r="L135" s="6" t="s">
        <v>858</v>
      </c>
      <c r="M135" t="s">
        <v>21</v>
      </c>
      <c r="N135" t="s">
        <v>859</v>
      </c>
      <c r="O135" t="s">
        <v>860</v>
      </c>
      <c r="P135" t="s">
        <v>861</v>
      </c>
      <c r="R135" t="s">
        <v>175</v>
      </c>
      <c r="S135" t="s">
        <v>176</v>
      </c>
      <c r="T135" t="s">
        <v>5</v>
      </c>
      <c r="U135" t="s">
        <v>177</v>
      </c>
      <c r="V135">
        <v>1</v>
      </c>
      <c r="W135" t="s">
        <v>182</v>
      </c>
      <c r="X135" t="s">
        <v>183</v>
      </c>
      <c r="Z135" t="s">
        <v>184</v>
      </c>
      <c r="AF135">
        <v>46001.791666666701</v>
      </c>
      <c r="AI135" t="s">
        <v>185</v>
      </c>
      <c r="AJ135" t="s">
        <v>186</v>
      </c>
      <c r="AK135" t="s">
        <v>187</v>
      </c>
      <c r="AL135" t="s">
        <v>187</v>
      </c>
      <c r="AM135" t="s">
        <v>188</v>
      </c>
      <c r="AN135" t="s">
        <v>189</v>
      </c>
      <c r="AO135" t="s">
        <v>6</v>
      </c>
      <c r="AP135" t="s">
        <v>9</v>
      </c>
      <c r="AQ135" t="s">
        <v>53</v>
      </c>
      <c r="AR135" t="s">
        <v>190</v>
      </c>
      <c r="AS135" t="s">
        <v>174</v>
      </c>
      <c r="AT135" t="s">
        <v>191</v>
      </c>
    </row>
    <row r="136" spans="1:46" ht="105" x14ac:dyDescent="0.25">
      <c r="A136" s="5">
        <v>46070.486041666663</v>
      </c>
      <c r="B136" t="s">
        <v>862</v>
      </c>
      <c r="C136" t="s">
        <v>173</v>
      </c>
      <c r="D136" t="s">
        <v>174</v>
      </c>
      <c r="E136" t="s">
        <v>147</v>
      </c>
      <c r="H136" t="s">
        <v>175</v>
      </c>
      <c r="I136" t="s">
        <v>176</v>
      </c>
      <c r="J136" t="s">
        <v>5</v>
      </c>
      <c r="K136" t="s">
        <v>177</v>
      </c>
      <c r="L136" s="6" t="s">
        <v>863</v>
      </c>
      <c r="M136" t="s">
        <v>21</v>
      </c>
      <c r="N136" t="s">
        <v>864</v>
      </c>
      <c r="O136" t="s">
        <v>865</v>
      </c>
      <c r="P136" t="s">
        <v>866</v>
      </c>
      <c r="R136" t="s">
        <v>175</v>
      </c>
      <c r="S136" t="s">
        <v>176</v>
      </c>
      <c r="T136" t="s">
        <v>5</v>
      </c>
      <c r="U136" t="s">
        <v>177</v>
      </c>
      <c r="V136">
        <v>1</v>
      </c>
      <c r="W136" t="s">
        <v>182</v>
      </c>
      <c r="X136" t="s">
        <v>183</v>
      </c>
      <c r="Z136" t="s">
        <v>184</v>
      </c>
      <c r="AF136">
        <v>46002.791666666701</v>
      </c>
      <c r="AI136" t="s">
        <v>185</v>
      </c>
      <c r="AJ136" t="s">
        <v>186</v>
      </c>
      <c r="AK136" t="s">
        <v>187</v>
      </c>
      <c r="AL136" t="s">
        <v>187</v>
      </c>
      <c r="AM136" t="s">
        <v>188</v>
      </c>
      <c r="AN136" t="s">
        <v>189</v>
      </c>
      <c r="AO136" t="s">
        <v>6</v>
      </c>
      <c r="AP136" t="s">
        <v>9</v>
      </c>
      <c r="AQ136" t="s">
        <v>53</v>
      </c>
      <c r="AR136" t="s">
        <v>190</v>
      </c>
      <c r="AS136" t="s">
        <v>174</v>
      </c>
      <c r="AT136" t="s">
        <v>191</v>
      </c>
    </row>
    <row r="137" spans="1:46" ht="105" x14ac:dyDescent="0.25">
      <c r="A137" s="5">
        <v>46070.491469907407</v>
      </c>
      <c r="B137" t="s">
        <v>867</v>
      </c>
      <c r="C137" t="s">
        <v>173</v>
      </c>
      <c r="D137" t="s">
        <v>174</v>
      </c>
      <c r="E137" t="s">
        <v>147</v>
      </c>
      <c r="H137" t="s">
        <v>175</v>
      </c>
      <c r="I137" t="s">
        <v>176</v>
      </c>
      <c r="J137" t="s">
        <v>5</v>
      </c>
      <c r="K137" t="s">
        <v>177</v>
      </c>
      <c r="L137" s="6" t="s">
        <v>868</v>
      </c>
      <c r="M137" t="s">
        <v>21</v>
      </c>
      <c r="N137" t="s">
        <v>869</v>
      </c>
      <c r="O137" t="s">
        <v>870</v>
      </c>
      <c r="P137" t="s">
        <v>871</v>
      </c>
      <c r="R137" t="s">
        <v>175</v>
      </c>
      <c r="S137" t="s">
        <v>176</v>
      </c>
      <c r="T137" t="s">
        <v>5</v>
      </c>
      <c r="U137" t="s">
        <v>177</v>
      </c>
      <c r="V137">
        <v>1</v>
      </c>
      <c r="W137" t="s">
        <v>182</v>
      </c>
      <c r="X137" t="s">
        <v>183</v>
      </c>
      <c r="Z137" t="s">
        <v>184</v>
      </c>
      <c r="AF137">
        <v>46005.791666666701</v>
      </c>
      <c r="AI137" t="s">
        <v>185</v>
      </c>
      <c r="AJ137" t="s">
        <v>186</v>
      </c>
      <c r="AK137" t="s">
        <v>187</v>
      </c>
      <c r="AL137" t="s">
        <v>187</v>
      </c>
      <c r="AM137" t="s">
        <v>188</v>
      </c>
      <c r="AN137" t="s">
        <v>189</v>
      </c>
      <c r="AO137" t="s">
        <v>6</v>
      </c>
      <c r="AP137" t="s">
        <v>9</v>
      </c>
      <c r="AQ137" t="s">
        <v>53</v>
      </c>
      <c r="AR137" t="s">
        <v>190</v>
      </c>
      <c r="AS137" t="s">
        <v>174</v>
      </c>
      <c r="AT137" t="s">
        <v>191</v>
      </c>
    </row>
    <row r="138" spans="1:46" ht="105" x14ac:dyDescent="0.25">
      <c r="A138" s="5">
        <v>46070.49628472222</v>
      </c>
      <c r="B138" t="s">
        <v>872</v>
      </c>
      <c r="C138" t="s">
        <v>173</v>
      </c>
      <c r="D138" t="s">
        <v>174</v>
      </c>
      <c r="E138" t="s">
        <v>147</v>
      </c>
      <c r="H138" t="s">
        <v>175</v>
      </c>
      <c r="I138" t="s">
        <v>176</v>
      </c>
      <c r="J138" t="s">
        <v>5</v>
      </c>
      <c r="K138" t="s">
        <v>177</v>
      </c>
      <c r="L138" s="6" t="s">
        <v>873</v>
      </c>
      <c r="M138" t="s">
        <v>21</v>
      </c>
      <c r="N138" t="s">
        <v>874</v>
      </c>
      <c r="O138" t="s">
        <v>875</v>
      </c>
      <c r="P138" t="s">
        <v>876</v>
      </c>
      <c r="R138" t="s">
        <v>175</v>
      </c>
      <c r="S138" t="s">
        <v>176</v>
      </c>
      <c r="T138" t="s">
        <v>5</v>
      </c>
      <c r="U138" t="s">
        <v>177</v>
      </c>
      <c r="V138">
        <v>1</v>
      </c>
      <c r="W138" t="s">
        <v>182</v>
      </c>
      <c r="X138" t="s">
        <v>183</v>
      </c>
      <c r="Z138" t="s">
        <v>184</v>
      </c>
      <c r="AF138">
        <v>46006.791666666701</v>
      </c>
      <c r="AI138" t="s">
        <v>185</v>
      </c>
      <c r="AJ138" t="s">
        <v>186</v>
      </c>
      <c r="AK138" t="s">
        <v>187</v>
      </c>
      <c r="AL138" t="s">
        <v>187</v>
      </c>
      <c r="AM138" t="s">
        <v>188</v>
      </c>
      <c r="AN138" t="s">
        <v>189</v>
      </c>
      <c r="AO138" t="s">
        <v>6</v>
      </c>
      <c r="AP138" t="s">
        <v>9</v>
      </c>
      <c r="AQ138" t="s">
        <v>53</v>
      </c>
      <c r="AR138" t="s">
        <v>190</v>
      </c>
      <c r="AS138" t="s">
        <v>174</v>
      </c>
      <c r="AT138" t="s">
        <v>191</v>
      </c>
    </row>
    <row r="139" spans="1:46" ht="105" x14ac:dyDescent="0.25">
      <c r="A139" s="5">
        <v>46070.500254629631</v>
      </c>
      <c r="B139" t="s">
        <v>877</v>
      </c>
      <c r="C139" t="s">
        <v>173</v>
      </c>
      <c r="D139" t="s">
        <v>174</v>
      </c>
      <c r="E139" t="s">
        <v>147</v>
      </c>
      <c r="H139" t="s">
        <v>175</v>
      </c>
      <c r="I139" t="s">
        <v>176</v>
      </c>
      <c r="J139" t="s">
        <v>5</v>
      </c>
      <c r="K139" t="s">
        <v>177</v>
      </c>
      <c r="L139" s="6" t="s">
        <v>878</v>
      </c>
      <c r="M139" t="s">
        <v>21</v>
      </c>
      <c r="N139" t="s">
        <v>879</v>
      </c>
      <c r="O139" t="s">
        <v>880</v>
      </c>
      <c r="P139" t="s">
        <v>881</v>
      </c>
      <c r="R139" t="s">
        <v>175</v>
      </c>
      <c r="S139" t="s">
        <v>176</v>
      </c>
      <c r="T139" t="s">
        <v>5</v>
      </c>
      <c r="U139" t="s">
        <v>177</v>
      </c>
      <c r="V139">
        <v>1</v>
      </c>
      <c r="W139" t="s">
        <v>182</v>
      </c>
      <c r="X139" t="s">
        <v>183</v>
      </c>
      <c r="Z139" t="s">
        <v>184</v>
      </c>
      <c r="AF139">
        <v>46028.791666666701</v>
      </c>
      <c r="AI139" t="s">
        <v>185</v>
      </c>
      <c r="AJ139" t="s">
        <v>186</v>
      </c>
      <c r="AK139" t="s">
        <v>187</v>
      </c>
      <c r="AL139" t="s">
        <v>187</v>
      </c>
      <c r="AM139" t="s">
        <v>188</v>
      </c>
      <c r="AN139" t="s">
        <v>189</v>
      </c>
      <c r="AO139" t="s">
        <v>6</v>
      </c>
      <c r="AP139" t="s">
        <v>9</v>
      </c>
      <c r="AQ139" t="s">
        <v>53</v>
      </c>
      <c r="AR139" t="s">
        <v>190</v>
      </c>
      <c r="AS139" t="s">
        <v>174</v>
      </c>
      <c r="AT139" t="s">
        <v>191</v>
      </c>
    </row>
    <row r="140" spans="1:46" ht="105" x14ac:dyDescent="0.25">
      <c r="A140" s="5">
        <v>46056.472534722219</v>
      </c>
      <c r="B140" t="s">
        <v>882</v>
      </c>
      <c r="C140" t="s">
        <v>173</v>
      </c>
      <c r="D140" t="s">
        <v>174</v>
      </c>
      <c r="E140" t="s">
        <v>147</v>
      </c>
      <c r="H140" t="s">
        <v>175</v>
      </c>
      <c r="I140" t="s">
        <v>176</v>
      </c>
      <c r="J140" t="s">
        <v>5</v>
      </c>
      <c r="K140" t="s">
        <v>177</v>
      </c>
      <c r="L140" s="6" t="s">
        <v>883</v>
      </c>
      <c r="M140" t="s">
        <v>7</v>
      </c>
      <c r="N140" t="s">
        <v>884</v>
      </c>
      <c r="O140" t="s">
        <v>885</v>
      </c>
      <c r="P140" t="s">
        <v>886</v>
      </c>
      <c r="R140" t="s">
        <v>175</v>
      </c>
      <c r="S140" t="s">
        <v>176</v>
      </c>
      <c r="T140" t="s">
        <v>5</v>
      </c>
      <c r="U140" t="s">
        <v>177</v>
      </c>
      <c r="V140">
        <v>1</v>
      </c>
      <c r="W140" t="s">
        <v>182</v>
      </c>
      <c r="X140" t="s">
        <v>183</v>
      </c>
      <c r="Z140" t="s">
        <v>184</v>
      </c>
      <c r="AF140">
        <v>45972.791666666701</v>
      </c>
      <c r="AI140" t="s">
        <v>185</v>
      </c>
      <c r="AJ140" t="s">
        <v>186</v>
      </c>
      <c r="AK140" t="s">
        <v>187</v>
      </c>
      <c r="AL140" t="s">
        <v>187</v>
      </c>
      <c r="AM140" t="s">
        <v>188</v>
      </c>
      <c r="AN140" t="s">
        <v>189</v>
      </c>
      <c r="AO140" t="s">
        <v>6</v>
      </c>
      <c r="AP140" t="s">
        <v>9</v>
      </c>
      <c r="AQ140" t="s">
        <v>53</v>
      </c>
      <c r="AR140" t="s">
        <v>190</v>
      </c>
      <c r="AS140" t="s">
        <v>174</v>
      </c>
      <c r="AT140" t="s">
        <v>191</v>
      </c>
    </row>
    <row r="141" spans="1:46" ht="120" x14ac:dyDescent="0.25">
      <c r="A141" s="5">
        <v>46071.683009259257</v>
      </c>
      <c r="B141" t="s">
        <v>887</v>
      </c>
      <c r="C141" t="s">
        <v>173</v>
      </c>
      <c r="D141" t="s">
        <v>174</v>
      </c>
      <c r="E141" t="s">
        <v>210</v>
      </c>
      <c r="G141" t="s">
        <v>211</v>
      </c>
      <c r="H141" t="s">
        <v>175</v>
      </c>
      <c r="I141" t="s">
        <v>176</v>
      </c>
      <c r="J141" t="s">
        <v>5</v>
      </c>
      <c r="K141" t="s">
        <v>200</v>
      </c>
      <c r="L141" s="6" t="s">
        <v>888</v>
      </c>
      <c r="M141" t="s">
        <v>55</v>
      </c>
      <c r="N141" t="s">
        <v>751</v>
      </c>
      <c r="O141" t="s">
        <v>752</v>
      </c>
      <c r="P141" t="s">
        <v>889</v>
      </c>
      <c r="R141" t="s">
        <v>175</v>
      </c>
      <c r="S141" t="s">
        <v>176</v>
      </c>
      <c r="T141" t="s">
        <v>5</v>
      </c>
      <c r="U141" t="s">
        <v>200</v>
      </c>
      <c r="V141">
        <v>1</v>
      </c>
      <c r="W141" t="s">
        <v>397</v>
      </c>
      <c r="X141" t="s">
        <v>637</v>
      </c>
      <c r="Z141" t="s">
        <v>191</v>
      </c>
      <c r="AB141" t="s">
        <v>890</v>
      </c>
      <c r="AC141" t="s">
        <v>891</v>
      </c>
      <c r="AF141">
        <v>46008.791666666701</v>
      </c>
      <c r="AI141" t="s">
        <v>220</v>
      </c>
      <c r="AJ141" t="s">
        <v>186</v>
      </c>
      <c r="AK141" t="s">
        <v>492</v>
      </c>
      <c r="AL141" t="s">
        <v>492</v>
      </c>
      <c r="AM141" t="s">
        <v>208</v>
      </c>
      <c r="AN141" t="s">
        <v>189</v>
      </c>
      <c r="AO141" t="s">
        <v>27</v>
      </c>
      <c r="AP141" t="s">
        <v>30</v>
      </c>
      <c r="AQ141" t="s">
        <v>53</v>
      </c>
      <c r="AR141" t="s">
        <v>190</v>
      </c>
      <c r="AS141" t="s">
        <v>174</v>
      </c>
      <c r="AT141" t="s">
        <v>191</v>
      </c>
    </row>
    <row r="142" spans="1:46" ht="75" x14ac:dyDescent="0.25">
      <c r="A142" s="5">
        <v>46069.731990740744</v>
      </c>
      <c r="B142" t="s">
        <v>892</v>
      </c>
      <c r="C142" t="s">
        <v>173</v>
      </c>
      <c r="D142" t="s">
        <v>198</v>
      </c>
      <c r="E142" t="s">
        <v>199</v>
      </c>
      <c r="H142" t="s">
        <v>175</v>
      </c>
      <c r="I142" t="s">
        <v>176</v>
      </c>
      <c r="J142" t="s">
        <v>5</v>
      </c>
      <c r="K142" t="s">
        <v>200</v>
      </c>
      <c r="L142" s="6" t="s">
        <v>893</v>
      </c>
      <c r="M142" t="s">
        <v>34</v>
      </c>
      <c r="N142" t="s">
        <v>894</v>
      </c>
      <c r="O142" t="s">
        <v>895</v>
      </c>
      <c r="P142" t="s">
        <v>896</v>
      </c>
      <c r="R142" t="s">
        <v>175</v>
      </c>
      <c r="S142" t="s">
        <v>176</v>
      </c>
      <c r="T142" t="s">
        <v>5</v>
      </c>
      <c r="U142" t="s">
        <v>200</v>
      </c>
      <c r="V142">
        <v>1</v>
      </c>
      <c r="W142" t="s">
        <v>205</v>
      </c>
      <c r="X142" t="s">
        <v>277</v>
      </c>
      <c r="Z142" t="s">
        <v>138</v>
      </c>
      <c r="AF142">
        <v>45979.791666666701</v>
      </c>
      <c r="AI142" t="s">
        <v>185</v>
      </c>
      <c r="AJ142" t="s">
        <v>186</v>
      </c>
      <c r="AK142" t="s">
        <v>278</v>
      </c>
      <c r="AL142" t="s">
        <v>278</v>
      </c>
      <c r="AM142" t="s">
        <v>188</v>
      </c>
      <c r="AN142" t="s">
        <v>189</v>
      </c>
      <c r="AO142" t="s">
        <v>15</v>
      </c>
      <c r="AP142" t="s">
        <v>19</v>
      </c>
      <c r="AQ142" t="s">
        <v>53</v>
      </c>
      <c r="AR142" t="s">
        <v>190</v>
      </c>
      <c r="AS142" t="s">
        <v>198</v>
      </c>
      <c r="AT142" t="s">
        <v>138</v>
      </c>
    </row>
    <row r="143" spans="1:46" ht="75" x14ac:dyDescent="0.25">
      <c r="A143" s="5">
        <v>46069.710949074077</v>
      </c>
      <c r="B143" t="s">
        <v>897</v>
      </c>
      <c r="C143" t="s">
        <v>173</v>
      </c>
      <c r="D143" t="s">
        <v>198</v>
      </c>
      <c r="E143" t="s">
        <v>199</v>
      </c>
      <c r="H143" t="s">
        <v>175</v>
      </c>
      <c r="I143" t="s">
        <v>176</v>
      </c>
      <c r="J143" t="s">
        <v>5</v>
      </c>
      <c r="K143" t="s">
        <v>200</v>
      </c>
      <c r="L143" s="6" t="s">
        <v>898</v>
      </c>
      <c r="M143" t="s">
        <v>34</v>
      </c>
      <c r="N143" t="s">
        <v>899</v>
      </c>
      <c r="O143" t="s">
        <v>900</v>
      </c>
      <c r="P143" t="s">
        <v>901</v>
      </c>
      <c r="R143" t="s">
        <v>175</v>
      </c>
      <c r="S143" t="s">
        <v>176</v>
      </c>
      <c r="T143" t="s">
        <v>5</v>
      </c>
      <c r="U143" t="s">
        <v>200</v>
      </c>
      <c r="V143">
        <v>1</v>
      </c>
      <c r="W143" t="s">
        <v>205</v>
      </c>
      <c r="X143" t="s">
        <v>277</v>
      </c>
      <c r="Z143" t="s">
        <v>138</v>
      </c>
      <c r="AF143">
        <v>45961.833333333299</v>
      </c>
      <c r="AI143" t="s">
        <v>185</v>
      </c>
      <c r="AJ143" t="s">
        <v>186</v>
      </c>
      <c r="AK143" t="s">
        <v>278</v>
      </c>
      <c r="AL143" t="s">
        <v>278</v>
      </c>
      <c r="AM143" t="s">
        <v>208</v>
      </c>
      <c r="AN143" t="s">
        <v>189</v>
      </c>
      <c r="AO143" t="s">
        <v>15</v>
      </c>
      <c r="AP143" t="s">
        <v>19</v>
      </c>
      <c r="AQ143" t="s">
        <v>53</v>
      </c>
      <c r="AR143" t="s">
        <v>190</v>
      </c>
      <c r="AS143" t="s">
        <v>198</v>
      </c>
      <c r="AT143" t="s">
        <v>138</v>
      </c>
    </row>
    <row r="144" spans="1:46" ht="75" x14ac:dyDescent="0.25">
      <c r="A144" s="5">
        <v>46069.685173611113</v>
      </c>
      <c r="B144" t="s">
        <v>902</v>
      </c>
      <c r="C144" t="s">
        <v>173</v>
      </c>
      <c r="D144" t="s">
        <v>198</v>
      </c>
      <c r="E144" t="s">
        <v>199</v>
      </c>
      <c r="H144" t="s">
        <v>175</v>
      </c>
      <c r="I144" t="s">
        <v>176</v>
      </c>
      <c r="J144" t="s">
        <v>5</v>
      </c>
      <c r="K144" t="s">
        <v>200</v>
      </c>
      <c r="L144" s="6" t="s">
        <v>903</v>
      </c>
      <c r="M144" t="s">
        <v>34</v>
      </c>
      <c r="N144" t="s">
        <v>904</v>
      </c>
      <c r="O144" t="s">
        <v>905</v>
      </c>
      <c r="P144" t="s">
        <v>906</v>
      </c>
      <c r="R144" t="s">
        <v>175</v>
      </c>
      <c r="S144" t="s">
        <v>176</v>
      </c>
      <c r="T144" t="s">
        <v>5</v>
      </c>
      <c r="U144" t="s">
        <v>200</v>
      </c>
      <c r="V144">
        <v>1</v>
      </c>
      <c r="W144" t="s">
        <v>205</v>
      </c>
      <c r="X144" t="s">
        <v>277</v>
      </c>
      <c r="Z144" t="s">
        <v>138</v>
      </c>
      <c r="AF144">
        <v>45939.833333333299</v>
      </c>
      <c r="AI144" t="s">
        <v>185</v>
      </c>
      <c r="AJ144" t="s">
        <v>186</v>
      </c>
      <c r="AK144" t="s">
        <v>278</v>
      </c>
      <c r="AL144" t="s">
        <v>278</v>
      </c>
      <c r="AM144" t="s">
        <v>208</v>
      </c>
      <c r="AN144" t="s">
        <v>189</v>
      </c>
      <c r="AO144" t="s">
        <v>15</v>
      </c>
      <c r="AP144" t="s">
        <v>19</v>
      </c>
      <c r="AQ144" t="s">
        <v>53</v>
      </c>
      <c r="AR144" t="s">
        <v>190</v>
      </c>
      <c r="AS144" t="s">
        <v>198</v>
      </c>
      <c r="AT144" t="s">
        <v>138</v>
      </c>
    </row>
    <row r="145" spans="1:46" ht="165" x14ac:dyDescent="0.25">
      <c r="A145" s="5">
        <v>46069.579386574071</v>
      </c>
      <c r="B145" t="s">
        <v>907</v>
      </c>
      <c r="C145" t="s">
        <v>173</v>
      </c>
      <c r="D145" t="s">
        <v>174</v>
      </c>
      <c r="E145" t="s">
        <v>210</v>
      </c>
      <c r="G145" t="s">
        <v>392</v>
      </c>
      <c r="H145" t="s">
        <v>175</v>
      </c>
      <c r="I145" t="s">
        <v>176</v>
      </c>
      <c r="J145" t="s">
        <v>5</v>
      </c>
      <c r="K145" t="s">
        <v>200</v>
      </c>
      <c r="L145" s="6" t="s">
        <v>908</v>
      </c>
      <c r="M145" t="s">
        <v>50</v>
      </c>
      <c r="N145" t="s">
        <v>909</v>
      </c>
      <c r="O145" t="s">
        <v>909</v>
      </c>
      <c r="AJ145" t="s">
        <v>186</v>
      </c>
      <c r="AK145" t="s">
        <v>207</v>
      </c>
      <c r="AL145" t="s">
        <v>207</v>
      </c>
      <c r="AM145" t="s">
        <v>208</v>
      </c>
      <c r="AN145" t="s">
        <v>189</v>
      </c>
      <c r="AO145" t="s">
        <v>53</v>
      </c>
      <c r="AP145" t="s">
        <v>53</v>
      </c>
      <c r="AQ145" t="s">
        <v>53</v>
      </c>
      <c r="AR145" t="s">
        <v>190</v>
      </c>
      <c r="AS145" t="s">
        <v>174</v>
      </c>
      <c r="AT145" t="s">
        <v>347</v>
      </c>
    </row>
    <row r="146" spans="1:46" ht="135" x14ac:dyDescent="0.25">
      <c r="A146" s="5">
        <v>46069.388298611113</v>
      </c>
      <c r="B146" t="s">
        <v>910</v>
      </c>
      <c r="C146" t="s">
        <v>173</v>
      </c>
      <c r="D146" t="s">
        <v>174</v>
      </c>
      <c r="E146" t="s">
        <v>325</v>
      </c>
      <c r="H146" t="s">
        <v>175</v>
      </c>
      <c r="I146" t="s">
        <v>176</v>
      </c>
      <c r="J146" t="s">
        <v>5</v>
      </c>
      <c r="K146" t="s">
        <v>200</v>
      </c>
      <c r="L146" s="6" t="s">
        <v>911</v>
      </c>
      <c r="M146" t="s">
        <v>115</v>
      </c>
      <c r="N146" t="s">
        <v>912</v>
      </c>
      <c r="O146" t="s">
        <v>913</v>
      </c>
      <c r="P146" t="s">
        <v>914</v>
      </c>
      <c r="Q146">
        <v>5</v>
      </c>
      <c r="R146" t="s">
        <v>175</v>
      </c>
      <c r="S146" t="s">
        <v>176</v>
      </c>
      <c r="T146" t="s">
        <v>5</v>
      </c>
      <c r="U146" t="s">
        <v>200</v>
      </c>
      <c r="V146">
        <v>1</v>
      </c>
      <c r="W146" t="s">
        <v>377</v>
      </c>
      <c r="X146" t="s">
        <v>378</v>
      </c>
      <c r="Z146" t="s">
        <v>191</v>
      </c>
      <c r="AF146">
        <v>46064.791666666701</v>
      </c>
      <c r="AI146" t="s">
        <v>220</v>
      </c>
      <c r="AJ146" t="s">
        <v>186</v>
      </c>
      <c r="AK146" t="s">
        <v>207</v>
      </c>
      <c r="AL146" t="s">
        <v>207</v>
      </c>
      <c r="AM146" t="s">
        <v>208</v>
      </c>
      <c r="AN146" t="s">
        <v>189</v>
      </c>
      <c r="AO146" t="s">
        <v>39</v>
      </c>
      <c r="AP146" t="s">
        <v>41</v>
      </c>
      <c r="AQ146" t="s">
        <v>53</v>
      </c>
      <c r="AR146" t="s">
        <v>190</v>
      </c>
      <c r="AS146" t="s">
        <v>174</v>
      </c>
      <c r="AT146" t="s">
        <v>191</v>
      </c>
    </row>
    <row r="147" spans="1:46" ht="105" x14ac:dyDescent="0.25">
      <c r="A147" s="5">
        <v>46056.478912037041</v>
      </c>
      <c r="B147" t="s">
        <v>915</v>
      </c>
      <c r="C147" t="s">
        <v>173</v>
      </c>
      <c r="D147" t="s">
        <v>174</v>
      </c>
      <c r="E147" t="s">
        <v>147</v>
      </c>
      <c r="H147" t="s">
        <v>175</v>
      </c>
      <c r="I147" t="s">
        <v>176</v>
      </c>
      <c r="J147" t="s">
        <v>5</v>
      </c>
      <c r="K147" t="s">
        <v>177</v>
      </c>
      <c r="L147" s="6" t="s">
        <v>916</v>
      </c>
      <c r="M147" t="s">
        <v>7</v>
      </c>
      <c r="N147" t="s">
        <v>917</v>
      </c>
      <c r="O147" t="s">
        <v>918</v>
      </c>
      <c r="P147" t="s">
        <v>919</v>
      </c>
      <c r="R147" t="s">
        <v>175</v>
      </c>
      <c r="S147" t="s">
        <v>176</v>
      </c>
      <c r="T147" t="s">
        <v>5</v>
      </c>
      <c r="U147" t="s">
        <v>177</v>
      </c>
      <c r="V147">
        <v>1</v>
      </c>
      <c r="W147" t="s">
        <v>182</v>
      </c>
      <c r="X147" t="s">
        <v>183</v>
      </c>
      <c r="Z147" t="s">
        <v>184</v>
      </c>
      <c r="AF147">
        <v>45973.791666666701</v>
      </c>
      <c r="AI147" t="s">
        <v>185</v>
      </c>
      <c r="AJ147" t="s">
        <v>186</v>
      </c>
      <c r="AK147" t="s">
        <v>187</v>
      </c>
      <c r="AL147" t="s">
        <v>187</v>
      </c>
      <c r="AM147" t="s">
        <v>188</v>
      </c>
      <c r="AN147" t="s">
        <v>189</v>
      </c>
      <c r="AO147" t="s">
        <v>6</v>
      </c>
      <c r="AP147" t="s">
        <v>9</v>
      </c>
      <c r="AQ147" t="s">
        <v>53</v>
      </c>
      <c r="AR147" t="s">
        <v>190</v>
      </c>
      <c r="AS147" t="s">
        <v>174</v>
      </c>
      <c r="AT147" t="s">
        <v>191</v>
      </c>
    </row>
    <row r="148" spans="1:46" ht="105" x14ac:dyDescent="0.25">
      <c r="A148" s="5">
        <v>46056.483715277776</v>
      </c>
      <c r="B148" t="s">
        <v>920</v>
      </c>
      <c r="C148" t="s">
        <v>173</v>
      </c>
      <c r="D148" t="s">
        <v>174</v>
      </c>
      <c r="E148" t="s">
        <v>147</v>
      </c>
      <c r="H148" t="s">
        <v>175</v>
      </c>
      <c r="I148" t="s">
        <v>176</v>
      </c>
      <c r="J148" t="s">
        <v>5</v>
      </c>
      <c r="K148" t="s">
        <v>177</v>
      </c>
      <c r="L148" s="6" t="s">
        <v>921</v>
      </c>
      <c r="M148" t="s">
        <v>7</v>
      </c>
      <c r="N148" t="s">
        <v>922</v>
      </c>
      <c r="O148" t="s">
        <v>923</v>
      </c>
      <c r="P148" t="s">
        <v>924</v>
      </c>
      <c r="R148" t="s">
        <v>175</v>
      </c>
      <c r="S148" t="s">
        <v>176</v>
      </c>
      <c r="T148" t="s">
        <v>5</v>
      </c>
      <c r="U148" t="s">
        <v>177</v>
      </c>
      <c r="V148">
        <v>1</v>
      </c>
      <c r="W148" t="s">
        <v>182</v>
      </c>
      <c r="X148" t="s">
        <v>183</v>
      </c>
      <c r="Z148" t="s">
        <v>184</v>
      </c>
      <c r="AF148">
        <v>45986.791666666701</v>
      </c>
      <c r="AI148" t="s">
        <v>185</v>
      </c>
      <c r="AJ148" t="s">
        <v>186</v>
      </c>
      <c r="AK148" t="s">
        <v>187</v>
      </c>
      <c r="AL148" t="s">
        <v>187</v>
      </c>
      <c r="AM148" t="s">
        <v>188</v>
      </c>
      <c r="AN148" t="s">
        <v>189</v>
      </c>
      <c r="AO148" t="s">
        <v>6</v>
      </c>
      <c r="AP148" t="s">
        <v>9</v>
      </c>
      <c r="AQ148" t="s">
        <v>53</v>
      </c>
      <c r="AR148" t="s">
        <v>190</v>
      </c>
      <c r="AS148" t="s">
        <v>174</v>
      </c>
      <c r="AT148" t="s">
        <v>191</v>
      </c>
    </row>
    <row r="149" spans="1:46" ht="105" x14ac:dyDescent="0.25">
      <c r="A149" s="5">
        <v>46062.567418981482</v>
      </c>
      <c r="B149" t="s">
        <v>925</v>
      </c>
      <c r="C149" t="s">
        <v>173</v>
      </c>
      <c r="D149" t="s">
        <v>174</v>
      </c>
      <c r="E149" t="s">
        <v>147</v>
      </c>
      <c r="H149" t="s">
        <v>175</v>
      </c>
      <c r="I149" t="s">
        <v>176</v>
      </c>
      <c r="J149" t="s">
        <v>5</v>
      </c>
      <c r="K149" t="s">
        <v>177</v>
      </c>
      <c r="L149" s="6" t="s">
        <v>926</v>
      </c>
      <c r="M149" t="s">
        <v>7</v>
      </c>
      <c r="N149" t="s">
        <v>927</v>
      </c>
      <c r="O149" t="s">
        <v>928</v>
      </c>
      <c r="P149" t="s">
        <v>929</v>
      </c>
      <c r="R149" t="s">
        <v>175</v>
      </c>
      <c r="S149" t="s">
        <v>176</v>
      </c>
      <c r="T149" t="s">
        <v>5</v>
      </c>
      <c r="U149" t="s">
        <v>177</v>
      </c>
      <c r="V149">
        <v>1</v>
      </c>
      <c r="W149" t="s">
        <v>182</v>
      </c>
      <c r="X149" t="s">
        <v>183</v>
      </c>
      <c r="Z149" t="s">
        <v>184</v>
      </c>
      <c r="AF149">
        <v>45972.791666666701</v>
      </c>
      <c r="AI149" t="s">
        <v>185</v>
      </c>
      <c r="AJ149" t="s">
        <v>186</v>
      </c>
      <c r="AK149" t="s">
        <v>187</v>
      </c>
      <c r="AL149" t="s">
        <v>187</v>
      </c>
      <c r="AM149" t="s">
        <v>188</v>
      </c>
      <c r="AN149" t="s">
        <v>189</v>
      </c>
      <c r="AO149" t="s">
        <v>6</v>
      </c>
      <c r="AP149" t="s">
        <v>9</v>
      </c>
      <c r="AQ149" t="s">
        <v>53</v>
      </c>
      <c r="AR149" t="s">
        <v>190</v>
      </c>
      <c r="AS149" t="s">
        <v>174</v>
      </c>
      <c r="AT149" t="s">
        <v>191</v>
      </c>
    </row>
    <row r="150" spans="1:46" ht="105" x14ac:dyDescent="0.25">
      <c r="A150" s="5">
        <v>46062.57372685185</v>
      </c>
      <c r="B150" t="s">
        <v>930</v>
      </c>
      <c r="C150" t="s">
        <v>173</v>
      </c>
      <c r="D150" t="s">
        <v>174</v>
      </c>
      <c r="E150" t="s">
        <v>147</v>
      </c>
      <c r="H150" t="s">
        <v>175</v>
      </c>
      <c r="I150" t="s">
        <v>176</v>
      </c>
      <c r="J150" t="s">
        <v>5</v>
      </c>
      <c r="K150" t="s">
        <v>177</v>
      </c>
      <c r="L150" s="6" t="s">
        <v>931</v>
      </c>
      <c r="M150" t="s">
        <v>7</v>
      </c>
      <c r="N150" t="s">
        <v>932</v>
      </c>
      <c r="O150" t="s">
        <v>933</v>
      </c>
      <c r="P150" t="s">
        <v>934</v>
      </c>
      <c r="R150" t="s">
        <v>175</v>
      </c>
      <c r="S150" t="s">
        <v>176</v>
      </c>
      <c r="T150" t="s">
        <v>5</v>
      </c>
      <c r="U150" t="s">
        <v>177</v>
      </c>
      <c r="V150">
        <v>1</v>
      </c>
      <c r="W150" t="s">
        <v>182</v>
      </c>
      <c r="X150" t="s">
        <v>183</v>
      </c>
      <c r="Z150" t="s">
        <v>184</v>
      </c>
      <c r="AF150">
        <v>45975.791666666701</v>
      </c>
      <c r="AI150" t="s">
        <v>185</v>
      </c>
      <c r="AJ150" t="s">
        <v>186</v>
      </c>
      <c r="AK150" t="s">
        <v>187</v>
      </c>
      <c r="AL150" t="s">
        <v>187</v>
      </c>
      <c r="AM150" t="s">
        <v>188</v>
      </c>
      <c r="AN150" t="s">
        <v>189</v>
      </c>
      <c r="AO150" t="s">
        <v>6</v>
      </c>
      <c r="AP150" t="s">
        <v>9</v>
      </c>
      <c r="AQ150" t="s">
        <v>53</v>
      </c>
      <c r="AR150" t="s">
        <v>190</v>
      </c>
      <c r="AS150" t="s">
        <v>174</v>
      </c>
      <c r="AT150" t="s">
        <v>191</v>
      </c>
    </row>
    <row r="151" spans="1:46" ht="105" x14ac:dyDescent="0.25">
      <c r="A151" s="5">
        <v>46062.578587962962</v>
      </c>
      <c r="B151" t="s">
        <v>935</v>
      </c>
      <c r="C151" t="s">
        <v>173</v>
      </c>
      <c r="D151" t="s">
        <v>174</v>
      </c>
      <c r="E151" t="s">
        <v>147</v>
      </c>
      <c r="H151" t="s">
        <v>175</v>
      </c>
      <c r="I151" t="s">
        <v>176</v>
      </c>
      <c r="J151" t="s">
        <v>5</v>
      </c>
      <c r="K151" t="s">
        <v>177</v>
      </c>
      <c r="L151" s="6" t="s">
        <v>931</v>
      </c>
      <c r="M151" t="s">
        <v>7</v>
      </c>
      <c r="N151" t="s">
        <v>936</v>
      </c>
      <c r="O151" t="s">
        <v>937</v>
      </c>
      <c r="P151" t="s">
        <v>938</v>
      </c>
      <c r="R151" t="s">
        <v>175</v>
      </c>
      <c r="S151" t="s">
        <v>176</v>
      </c>
      <c r="T151" t="s">
        <v>5</v>
      </c>
      <c r="U151" t="s">
        <v>177</v>
      </c>
      <c r="V151">
        <v>1</v>
      </c>
      <c r="W151" t="s">
        <v>182</v>
      </c>
      <c r="X151" t="s">
        <v>183</v>
      </c>
      <c r="Z151" t="s">
        <v>184</v>
      </c>
      <c r="AF151">
        <v>45986.791666666701</v>
      </c>
      <c r="AI151" t="s">
        <v>185</v>
      </c>
      <c r="AJ151" t="s">
        <v>186</v>
      </c>
      <c r="AK151" t="s">
        <v>187</v>
      </c>
      <c r="AL151" t="s">
        <v>187</v>
      </c>
      <c r="AM151" t="s">
        <v>188</v>
      </c>
      <c r="AN151" t="s">
        <v>189</v>
      </c>
      <c r="AO151" t="s">
        <v>6</v>
      </c>
      <c r="AP151" t="s">
        <v>9</v>
      </c>
      <c r="AQ151" t="s">
        <v>53</v>
      </c>
      <c r="AR151" t="s">
        <v>190</v>
      </c>
      <c r="AS151" t="s">
        <v>174</v>
      </c>
      <c r="AT151" t="s">
        <v>191</v>
      </c>
    </row>
    <row r="152" spans="1:46" ht="105" x14ac:dyDescent="0.25">
      <c r="A152" s="5">
        <v>46062.584201388891</v>
      </c>
      <c r="B152" t="s">
        <v>939</v>
      </c>
      <c r="C152" t="s">
        <v>173</v>
      </c>
      <c r="D152" t="s">
        <v>174</v>
      </c>
      <c r="E152" t="s">
        <v>147</v>
      </c>
      <c r="H152" t="s">
        <v>175</v>
      </c>
      <c r="I152" t="s">
        <v>176</v>
      </c>
      <c r="J152" t="s">
        <v>5</v>
      </c>
      <c r="K152" t="s">
        <v>177</v>
      </c>
      <c r="L152" s="6" t="s">
        <v>940</v>
      </c>
      <c r="M152" t="s">
        <v>7</v>
      </c>
      <c r="N152" t="s">
        <v>941</v>
      </c>
      <c r="O152" t="s">
        <v>942</v>
      </c>
      <c r="P152" t="s">
        <v>943</v>
      </c>
      <c r="R152" t="s">
        <v>175</v>
      </c>
      <c r="S152" t="s">
        <v>176</v>
      </c>
      <c r="T152" t="s">
        <v>5</v>
      </c>
      <c r="U152" t="s">
        <v>177</v>
      </c>
      <c r="V152">
        <v>1</v>
      </c>
      <c r="W152" t="s">
        <v>182</v>
      </c>
      <c r="X152" t="s">
        <v>183</v>
      </c>
      <c r="Z152" t="s">
        <v>184</v>
      </c>
      <c r="AF152">
        <v>45986.791666666701</v>
      </c>
      <c r="AI152" t="s">
        <v>185</v>
      </c>
      <c r="AJ152" t="s">
        <v>186</v>
      </c>
      <c r="AK152" t="s">
        <v>187</v>
      </c>
      <c r="AL152" t="s">
        <v>187</v>
      </c>
      <c r="AM152" t="s">
        <v>188</v>
      </c>
      <c r="AN152" t="s">
        <v>189</v>
      </c>
      <c r="AO152" t="s">
        <v>6</v>
      </c>
      <c r="AP152" t="s">
        <v>9</v>
      </c>
      <c r="AQ152" t="s">
        <v>53</v>
      </c>
      <c r="AR152" t="s">
        <v>190</v>
      </c>
      <c r="AS152" t="s">
        <v>174</v>
      </c>
      <c r="AT152" t="s">
        <v>191</v>
      </c>
    </row>
    <row r="153" spans="1:46" ht="105" x14ac:dyDescent="0.25">
      <c r="A153" s="5">
        <v>46056.474918981483</v>
      </c>
      <c r="B153" t="s">
        <v>944</v>
      </c>
      <c r="C153" t="s">
        <v>173</v>
      </c>
      <c r="D153" t="s">
        <v>174</v>
      </c>
      <c r="E153" t="s">
        <v>325</v>
      </c>
      <c r="H153" t="s">
        <v>175</v>
      </c>
      <c r="I153" t="s">
        <v>176</v>
      </c>
      <c r="J153" t="s">
        <v>5</v>
      </c>
      <c r="K153" t="s">
        <v>200</v>
      </c>
      <c r="L153" s="6" t="s">
        <v>945</v>
      </c>
      <c r="M153" t="s">
        <v>75</v>
      </c>
      <c r="N153" t="s">
        <v>946</v>
      </c>
      <c r="O153" t="s">
        <v>947</v>
      </c>
      <c r="P153" t="s">
        <v>948</v>
      </c>
      <c r="Q153">
        <v>107</v>
      </c>
      <c r="R153" t="s">
        <v>175</v>
      </c>
      <c r="S153" t="s">
        <v>176</v>
      </c>
      <c r="T153" t="s">
        <v>5</v>
      </c>
      <c r="U153" t="s">
        <v>200</v>
      </c>
      <c r="V153">
        <v>4</v>
      </c>
      <c r="W153" t="s">
        <v>330</v>
      </c>
      <c r="X153" t="s">
        <v>331</v>
      </c>
      <c r="Z153" t="s">
        <v>191</v>
      </c>
      <c r="AB153" t="s">
        <v>949</v>
      </c>
      <c r="AF153">
        <v>46043.791666666701</v>
      </c>
      <c r="AI153" t="s">
        <v>220</v>
      </c>
      <c r="AJ153" t="s">
        <v>186</v>
      </c>
      <c r="AK153" t="s">
        <v>207</v>
      </c>
      <c r="AL153" t="s">
        <v>207</v>
      </c>
      <c r="AM153" t="s">
        <v>208</v>
      </c>
      <c r="AN153" t="s">
        <v>189</v>
      </c>
      <c r="AO153" t="s">
        <v>26</v>
      </c>
      <c r="AP153" t="s">
        <v>32</v>
      </c>
      <c r="AQ153" t="s">
        <v>53</v>
      </c>
      <c r="AR153" t="s">
        <v>190</v>
      </c>
      <c r="AS153" t="s">
        <v>174</v>
      </c>
      <c r="AT153" t="s">
        <v>191</v>
      </c>
    </row>
    <row r="154" spans="1:46" ht="105" x14ac:dyDescent="0.25">
      <c r="A154" s="5">
        <v>46056.474918981483</v>
      </c>
      <c r="B154" t="s">
        <v>944</v>
      </c>
      <c r="C154" t="s">
        <v>173</v>
      </c>
      <c r="D154" t="s">
        <v>174</v>
      </c>
      <c r="E154" t="s">
        <v>325</v>
      </c>
      <c r="H154" t="s">
        <v>175</v>
      </c>
      <c r="I154" t="s">
        <v>176</v>
      </c>
      <c r="J154" t="s">
        <v>5</v>
      </c>
      <c r="K154" t="s">
        <v>200</v>
      </c>
      <c r="L154" s="6" t="s">
        <v>945</v>
      </c>
      <c r="M154" t="s">
        <v>75</v>
      </c>
      <c r="N154" t="s">
        <v>946</v>
      </c>
      <c r="O154" t="s">
        <v>947</v>
      </c>
      <c r="P154" t="s">
        <v>948</v>
      </c>
      <c r="Q154">
        <v>124</v>
      </c>
      <c r="R154" t="s">
        <v>175</v>
      </c>
      <c r="S154" t="s">
        <v>176</v>
      </c>
      <c r="T154" t="s">
        <v>5</v>
      </c>
      <c r="U154" t="s">
        <v>200</v>
      </c>
      <c r="V154">
        <v>16</v>
      </c>
      <c r="W154" t="s">
        <v>330</v>
      </c>
      <c r="X154" t="s">
        <v>331</v>
      </c>
      <c r="Z154" t="s">
        <v>191</v>
      </c>
      <c r="AB154" t="s">
        <v>950</v>
      </c>
      <c r="AF154">
        <v>46043.791666666701</v>
      </c>
      <c r="AI154" t="s">
        <v>220</v>
      </c>
      <c r="AJ154" t="s">
        <v>186</v>
      </c>
      <c r="AK154" t="s">
        <v>207</v>
      </c>
      <c r="AL154" t="s">
        <v>207</v>
      </c>
      <c r="AM154" t="s">
        <v>208</v>
      </c>
      <c r="AN154" t="s">
        <v>189</v>
      </c>
      <c r="AO154" t="s">
        <v>26</v>
      </c>
      <c r="AP154" t="s">
        <v>32</v>
      </c>
      <c r="AQ154" t="s">
        <v>53</v>
      </c>
      <c r="AR154" t="s">
        <v>190</v>
      </c>
      <c r="AS154" t="s">
        <v>174</v>
      </c>
      <c r="AT154" t="s">
        <v>191</v>
      </c>
    </row>
    <row r="155" spans="1:46" ht="150" x14ac:dyDescent="0.25">
      <c r="A155" s="5">
        <v>46063.689166666663</v>
      </c>
      <c r="B155" t="s">
        <v>951</v>
      </c>
      <c r="C155" t="s">
        <v>173</v>
      </c>
      <c r="D155" t="s">
        <v>174</v>
      </c>
      <c r="E155" t="s">
        <v>210</v>
      </c>
      <c r="G155" t="s">
        <v>392</v>
      </c>
      <c r="H155" t="s">
        <v>175</v>
      </c>
      <c r="I155" t="s">
        <v>176</v>
      </c>
      <c r="J155" t="s">
        <v>5</v>
      </c>
      <c r="K155" t="s">
        <v>177</v>
      </c>
      <c r="L155" s="6" t="s">
        <v>952</v>
      </c>
      <c r="M155" t="s">
        <v>42</v>
      </c>
      <c r="N155" t="s">
        <v>953</v>
      </c>
      <c r="O155" t="s">
        <v>954</v>
      </c>
      <c r="P155" t="s">
        <v>955</v>
      </c>
      <c r="V155">
        <v>1</v>
      </c>
      <c r="AB155" t="s">
        <v>956</v>
      </c>
      <c r="AF155">
        <v>45575.833333333299</v>
      </c>
      <c r="AJ155" t="s">
        <v>345</v>
      </c>
      <c r="AK155" t="s">
        <v>333</v>
      </c>
      <c r="AL155" t="s">
        <v>346</v>
      </c>
      <c r="AM155" t="s">
        <v>208</v>
      </c>
      <c r="AN155" t="s">
        <v>189</v>
      </c>
      <c r="AO155" t="s">
        <v>53</v>
      </c>
      <c r="AP155" t="s">
        <v>53</v>
      </c>
      <c r="AQ155" t="s">
        <v>53</v>
      </c>
      <c r="AR155" t="s">
        <v>190</v>
      </c>
      <c r="AS155" t="s">
        <v>174</v>
      </c>
      <c r="AT155" t="s">
        <v>347</v>
      </c>
    </row>
    <row r="156" spans="1:46" ht="75" x14ac:dyDescent="0.25">
      <c r="A156" s="5">
        <v>46077.481585648151</v>
      </c>
      <c r="B156" t="s">
        <v>957</v>
      </c>
      <c r="C156" t="s">
        <v>173</v>
      </c>
      <c r="D156" t="s">
        <v>198</v>
      </c>
      <c r="E156" t="s">
        <v>199</v>
      </c>
      <c r="H156" t="s">
        <v>175</v>
      </c>
      <c r="I156" t="s">
        <v>176</v>
      </c>
      <c r="J156" t="s">
        <v>5</v>
      </c>
      <c r="K156" t="s">
        <v>200</v>
      </c>
      <c r="L156" s="6" t="s">
        <v>958</v>
      </c>
      <c r="M156" t="s">
        <v>38</v>
      </c>
      <c r="N156" t="s">
        <v>959</v>
      </c>
      <c r="O156" t="s">
        <v>960</v>
      </c>
      <c r="P156" t="s">
        <v>961</v>
      </c>
      <c r="Q156">
        <v>2</v>
      </c>
      <c r="R156" t="s">
        <v>175</v>
      </c>
      <c r="S156" t="s">
        <v>176</v>
      </c>
      <c r="T156" t="s">
        <v>5</v>
      </c>
      <c r="U156" t="s">
        <v>200</v>
      </c>
      <c r="V156">
        <v>1</v>
      </c>
      <c r="W156" t="s">
        <v>659</v>
      </c>
      <c r="X156" t="s">
        <v>962</v>
      </c>
      <c r="Z156" t="s">
        <v>811</v>
      </c>
      <c r="AF156">
        <v>46068.791666666701</v>
      </c>
      <c r="AI156" t="s">
        <v>185</v>
      </c>
      <c r="AJ156" t="s">
        <v>186</v>
      </c>
      <c r="AK156" t="s">
        <v>706</v>
      </c>
      <c r="AL156" t="s">
        <v>706</v>
      </c>
      <c r="AM156" t="s">
        <v>208</v>
      </c>
      <c r="AN156" t="s">
        <v>189</v>
      </c>
      <c r="AO156" t="s">
        <v>64</v>
      </c>
      <c r="AP156" t="s">
        <v>69</v>
      </c>
      <c r="AQ156" t="s">
        <v>53</v>
      </c>
      <c r="AR156" t="s">
        <v>190</v>
      </c>
      <c r="AS156" t="s">
        <v>198</v>
      </c>
      <c r="AT156" t="s">
        <v>347</v>
      </c>
    </row>
    <row r="157" spans="1:46" ht="135" x14ac:dyDescent="0.25">
      <c r="A157" s="5">
        <v>46065.725451388891</v>
      </c>
      <c r="B157" t="s">
        <v>963</v>
      </c>
      <c r="C157" t="s">
        <v>173</v>
      </c>
      <c r="D157" t="s">
        <v>174</v>
      </c>
      <c r="E157" t="s">
        <v>184</v>
      </c>
      <c r="H157" t="s">
        <v>175</v>
      </c>
      <c r="I157" t="s">
        <v>176</v>
      </c>
      <c r="J157" t="s">
        <v>5</v>
      </c>
      <c r="K157" t="s">
        <v>200</v>
      </c>
      <c r="L157" s="6" t="s">
        <v>964</v>
      </c>
      <c r="M157" t="s">
        <v>103</v>
      </c>
      <c r="N157" t="s">
        <v>965</v>
      </c>
      <c r="O157" t="s">
        <v>966</v>
      </c>
      <c r="P157" t="s">
        <v>967</v>
      </c>
      <c r="Q157">
        <v>2</v>
      </c>
      <c r="R157" t="s">
        <v>175</v>
      </c>
      <c r="S157" t="s">
        <v>176</v>
      </c>
      <c r="T157" t="s">
        <v>5</v>
      </c>
      <c r="U157" t="s">
        <v>200</v>
      </c>
      <c r="V157">
        <v>8</v>
      </c>
      <c r="W157" t="s">
        <v>719</v>
      </c>
      <c r="X157" t="s">
        <v>720</v>
      </c>
      <c r="Z157" t="s">
        <v>721</v>
      </c>
      <c r="AB157" t="s">
        <v>968</v>
      </c>
      <c r="AF157">
        <v>46044.791666666701</v>
      </c>
      <c r="AI157" t="s">
        <v>220</v>
      </c>
      <c r="AJ157" t="s">
        <v>186</v>
      </c>
      <c r="AK157" t="s">
        <v>207</v>
      </c>
      <c r="AL157" t="s">
        <v>207</v>
      </c>
      <c r="AM157" t="s">
        <v>208</v>
      </c>
      <c r="AN157" t="s">
        <v>189</v>
      </c>
      <c r="AO157" t="s">
        <v>49</v>
      </c>
      <c r="AP157" t="s">
        <v>49</v>
      </c>
      <c r="AQ157" t="s">
        <v>53</v>
      </c>
      <c r="AR157" t="s">
        <v>190</v>
      </c>
      <c r="AS157" t="s">
        <v>174</v>
      </c>
      <c r="AT157" t="s">
        <v>191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F52C6-B951-4C3F-8111-6037E75CA5FE}">
  <dimension ref="A1:M111"/>
  <sheetViews>
    <sheetView tabSelected="1" zoomScale="85" zoomScaleNormal="85" workbookViewId="0">
      <selection activeCell="E6" sqref="E6"/>
    </sheetView>
  </sheetViews>
  <sheetFormatPr defaultRowHeight="15" x14ac:dyDescent="0.25"/>
  <cols>
    <col min="1" max="1" width="13.42578125" bestFit="1" customWidth="1"/>
    <col min="2" max="2" width="22" bestFit="1" customWidth="1"/>
    <col min="3" max="3" width="15.5703125" bestFit="1" customWidth="1"/>
    <col min="5" max="5" width="43.85546875" bestFit="1" customWidth="1"/>
    <col min="6" max="6" width="22" bestFit="1" customWidth="1"/>
    <col min="7" max="7" width="15.5703125" bestFit="1" customWidth="1"/>
    <col min="9" max="9" width="42" bestFit="1" customWidth="1"/>
    <col min="10" max="10" width="22" bestFit="1" customWidth="1"/>
    <col min="12" max="12" width="77.7109375" bestFit="1" customWidth="1"/>
    <col min="13" max="13" width="22" bestFit="1" customWidth="1"/>
  </cols>
  <sheetData>
    <row r="1" spans="1:13" x14ac:dyDescent="0.25">
      <c r="A1" t="s">
        <v>0</v>
      </c>
      <c r="B1" t="s">
        <v>1</v>
      </c>
      <c r="E1" s="7" t="s">
        <v>0</v>
      </c>
      <c r="F1" t="s">
        <v>1</v>
      </c>
      <c r="I1" t="s">
        <v>0</v>
      </c>
      <c r="J1" t="s">
        <v>1</v>
      </c>
      <c r="L1" t="s">
        <v>0</v>
      </c>
      <c r="M1" t="s">
        <v>1</v>
      </c>
    </row>
    <row r="3" spans="1:13" x14ac:dyDescent="0.25">
      <c r="A3" t="s">
        <v>2</v>
      </c>
      <c r="B3" t="s">
        <v>3</v>
      </c>
      <c r="C3" t="s">
        <v>4</v>
      </c>
      <c r="E3" s="7" t="s">
        <v>2</v>
      </c>
      <c r="F3" t="s">
        <v>3</v>
      </c>
      <c r="G3" t="s">
        <v>4</v>
      </c>
      <c r="I3" t="s">
        <v>2</v>
      </c>
      <c r="J3" t="s">
        <v>3</v>
      </c>
      <c r="L3" t="s">
        <v>2</v>
      </c>
      <c r="M3" t="s">
        <v>3</v>
      </c>
    </row>
    <row r="4" spans="1:13" x14ac:dyDescent="0.25">
      <c r="A4" s="1" t="s">
        <v>5</v>
      </c>
      <c r="B4">
        <v>154</v>
      </c>
      <c r="C4">
        <v>2259</v>
      </c>
      <c r="E4" s="1" t="s">
        <v>5</v>
      </c>
      <c r="F4" s="8">
        <v>154</v>
      </c>
      <c r="G4" s="8">
        <v>2259</v>
      </c>
      <c r="I4" s="1" t="s">
        <v>6</v>
      </c>
      <c r="J4">
        <v>118</v>
      </c>
      <c r="L4" s="1" t="s">
        <v>7</v>
      </c>
      <c r="M4">
        <v>79</v>
      </c>
    </row>
    <row r="5" spans="1:13" x14ac:dyDescent="0.25">
      <c r="A5" s="1" t="s">
        <v>8</v>
      </c>
      <c r="B5">
        <v>129</v>
      </c>
      <c r="C5">
        <v>2153</v>
      </c>
      <c r="E5" s="2" t="s">
        <v>62</v>
      </c>
      <c r="F5" s="8">
        <v>1</v>
      </c>
      <c r="G5" s="8">
        <v>1</v>
      </c>
      <c r="I5" s="2" t="s">
        <v>9</v>
      </c>
      <c r="J5">
        <v>114</v>
      </c>
      <c r="L5" s="1" t="s">
        <v>10</v>
      </c>
      <c r="M5">
        <v>31</v>
      </c>
    </row>
    <row r="6" spans="1:13" x14ac:dyDescent="0.25">
      <c r="A6" s="1" t="s">
        <v>11</v>
      </c>
      <c r="B6">
        <v>19</v>
      </c>
      <c r="C6">
        <v>443</v>
      </c>
      <c r="E6" s="3" t="s">
        <v>62</v>
      </c>
      <c r="F6" s="8">
        <v>1</v>
      </c>
      <c r="G6" s="8">
        <v>1</v>
      </c>
      <c r="I6" s="2" t="s">
        <v>12</v>
      </c>
      <c r="J6">
        <v>4</v>
      </c>
      <c r="L6" s="1" t="s">
        <v>13</v>
      </c>
      <c r="M6">
        <v>28</v>
      </c>
    </row>
    <row r="7" spans="1:13" x14ac:dyDescent="0.25">
      <c r="A7" s="1" t="s">
        <v>14</v>
      </c>
      <c r="B7">
        <v>8</v>
      </c>
      <c r="C7">
        <v>25755</v>
      </c>
      <c r="E7" s="2" t="s">
        <v>45</v>
      </c>
      <c r="F7" s="8">
        <v>5</v>
      </c>
      <c r="G7" s="8">
        <v>1135</v>
      </c>
      <c r="I7" s="1" t="s">
        <v>16</v>
      </c>
      <c r="J7">
        <v>50</v>
      </c>
      <c r="L7" s="1" t="s">
        <v>17</v>
      </c>
      <c r="M7">
        <v>21</v>
      </c>
    </row>
    <row r="8" spans="1:13" x14ac:dyDescent="0.25">
      <c r="A8" s="1" t="s">
        <v>18</v>
      </c>
      <c r="B8">
        <v>5</v>
      </c>
      <c r="C8">
        <v>43</v>
      </c>
      <c r="E8" s="3" t="s">
        <v>45</v>
      </c>
      <c r="F8" s="8">
        <v>5</v>
      </c>
      <c r="G8" s="8">
        <v>1135</v>
      </c>
      <c r="I8" s="2" t="s">
        <v>20</v>
      </c>
      <c r="J8">
        <v>34</v>
      </c>
      <c r="L8" s="1" t="s">
        <v>21</v>
      </c>
      <c r="M8">
        <v>17</v>
      </c>
    </row>
    <row r="9" spans="1:13" x14ac:dyDescent="0.25">
      <c r="A9" s="1" t="s">
        <v>22</v>
      </c>
      <c r="B9">
        <v>315</v>
      </c>
      <c r="C9">
        <v>30653</v>
      </c>
      <c r="E9" s="2" t="s">
        <v>16</v>
      </c>
      <c r="F9" s="8">
        <v>1</v>
      </c>
      <c r="G9" s="8">
        <v>2</v>
      </c>
      <c r="I9" s="2" t="s">
        <v>24</v>
      </c>
      <c r="J9">
        <v>16</v>
      </c>
      <c r="L9" s="1" t="s">
        <v>25</v>
      </c>
      <c r="M9">
        <v>11</v>
      </c>
    </row>
    <row r="10" spans="1:13" x14ac:dyDescent="0.25">
      <c r="E10" s="3" t="s">
        <v>20</v>
      </c>
      <c r="F10" s="8">
        <v>1</v>
      </c>
      <c r="G10" s="8">
        <v>2</v>
      </c>
      <c r="I10" s="1" t="s">
        <v>27</v>
      </c>
      <c r="J10">
        <v>34</v>
      </c>
      <c r="L10" s="1" t="s">
        <v>28</v>
      </c>
      <c r="M10">
        <v>9</v>
      </c>
    </row>
    <row r="11" spans="1:13" x14ac:dyDescent="0.25">
      <c r="E11" s="2" t="s">
        <v>64</v>
      </c>
      <c r="F11" s="8">
        <v>2</v>
      </c>
      <c r="G11" s="8">
        <v>2</v>
      </c>
      <c r="I11" s="2" t="s">
        <v>30</v>
      </c>
      <c r="J11">
        <v>22</v>
      </c>
      <c r="L11" s="1" t="s">
        <v>31</v>
      </c>
      <c r="M11">
        <v>7</v>
      </c>
    </row>
    <row r="12" spans="1:13" x14ac:dyDescent="0.25">
      <c r="E12" s="3" t="s">
        <v>67</v>
      </c>
      <c r="F12" s="8">
        <v>1</v>
      </c>
      <c r="G12" s="8">
        <v>1</v>
      </c>
      <c r="I12" s="2" t="s">
        <v>33</v>
      </c>
      <c r="J12">
        <v>8</v>
      </c>
      <c r="L12" s="1" t="s">
        <v>34</v>
      </c>
      <c r="M12">
        <v>7</v>
      </c>
    </row>
    <row r="13" spans="1:13" x14ac:dyDescent="0.25">
      <c r="E13" s="3" t="s">
        <v>69</v>
      </c>
      <c r="F13" s="8">
        <v>1</v>
      </c>
      <c r="G13" s="8">
        <v>1</v>
      </c>
      <c r="I13" s="2" t="s">
        <v>35</v>
      </c>
      <c r="J13">
        <v>4</v>
      </c>
      <c r="L13" s="1" t="s">
        <v>36</v>
      </c>
      <c r="M13">
        <v>5</v>
      </c>
    </row>
    <row r="14" spans="1:13" x14ac:dyDescent="0.25">
      <c r="E14" s="2" t="s">
        <v>77</v>
      </c>
      <c r="F14" s="8">
        <v>1</v>
      </c>
      <c r="G14" s="8"/>
      <c r="I14" s="1" t="s">
        <v>26</v>
      </c>
      <c r="J14">
        <v>24</v>
      </c>
      <c r="L14" s="1" t="s">
        <v>37</v>
      </c>
      <c r="M14">
        <v>5</v>
      </c>
    </row>
    <row r="15" spans="1:13" x14ac:dyDescent="0.25">
      <c r="E15" s="3" t="s">
        <v>79</v>
      </c>
      <c r="F15" s="8">
        <v>1</v>
      </c>
      <c r="G15" s="8"/>
      <c r="I15" s="2" t="s">
        <v>32</v>
      </c>
      <c r="J15">
        <v>19</v>
      </c>
      <c r="L15" s="1" t="s">
        <v>38</v>
      </c>
      <c r="M15">
        <v>5</v>
      </c>
    </row>
    <row r="16" spans="1:13" x14ac:dyDescent="0.25">
      <c r="E16" s="2" t="s">
        <v>27</v>
      </c>
      <c r="F16" s="8">
        <v>6</v>
      </c>
      <c r="G16" s="8">
        <v>66</v>
      </c>
      <c r="I16" s="2" t="s">
        <v>29</v>
      </c>
      <c r="J16">
        <v>5</v>
      </c>
      <c r="L16" s="1" t="s">
        <v>40</v>
      </c>
      <c r="M16">
        <v>4</v>
      </c>
    </row>
    <row r="17" spans="5:13" x14ac:dyDescent="0.25">
      <c r="E17" s="3" t="s">
        <v>30</v>
      </c>
      <c r="F17" s="8">
        <v>4</v>
      </c>
      <c r="G17" s="8">
        <v>5</v>
      </c>
      <c r="I17" s="1" t="s">
        <v>15</v>
      </c>
      <c r="J17">
        <v>15</v>
      </c>
      <c r="L17" s="1" t="s">
        <v>42</v>
      </c>
      <c r="M17">
        <v>4</v>
      </c>
    </row>
    <row r="18" spans="5:13" x14ac:dyDescent="0.25">
      <c r="E18" s="3" t="s">
        <v>33</v>
      </c>
      <c r="F18" s="8">
        <v>2</v>
      </c>
      <c r="G18" s="8">
        <v>61</v>
      </c>
      <c r="I18" s="2" t="s">
        <v>23</v>
      </c>
      <c r="J18">
        <v>8</v>
      </c>
      <c r="L18" s="1" t="s">
        <v>44</v>
      </c>
      <c r="M18">
        <v>3</v>
      </c>
    </row>
    <row r="19" spans="5:13" x14ac:dyDescent="0.25">
      <c r="E19" s="2" t="s">
        <v>49</v>
      </c>
      <c r="F19" s="8">
        <v>3</v>
      </c>
      <c r="G19" s="8">
        <v>12</v>
      </c>
      <c r="I19" s="2" t="s">
        <v>19</v>
      </c>
      <c r="J19">
        <v>7</v>
      </c>
      <c r="L19" s="1" t="s">
        <v>46</v>
      </c>
      <c r="M19">
        <v>3</v>
      </c>
    </row>
    <row r="20" spans="5:13" x14ac:dyDescent="0.25">
      <c r="E20" s="3" t="s">
        <v>49</v>
      </c>
      <c r="F20" s="8">
        <v>3</v>
      </c>
      <c r="G20" s="8">
        <v>12</v>
      </c>
      <c r="I20" s="1" t="s">
        <v>47</v>
      </c>
      <c r="J20">
        <v>12</v>
      </c>
      <c r="L20" s="1" t="s">
        <v>48</v>
      </c>
      <c r="M20">
        <v>3</v>
      </c>
    </row>
    <row r="21" spans="5:13" x14ac:dyDescent="0.25">
      <c r="E21" s="2" t="s">
        <v>72</v>
      </c>
      <c r="F21" s="8">
        <v>2</v>
      </c>
      <c r="G21" s="8">
        <v>12</v>
      </c>
      <c r="I21" s="2" t="s">
        <v>47</v>
      </c>
      <c r="J21">
        <v>12</v>
      </c>
      <c r="L21" s="1" t="s">
        <v>50</v>
      </c>
      <c r="M21">
        <v>3</v>
      </c>
    </row>
    <row r="22" spans="5:13" x14ac:dyDescent="0.25">
      <c r="E22" s="3" t="s">
        <v>72</v>
      </c>
      <c r="F22" s="8">
        <v>2</v>
      </c>
      <c r="G22" s="8">
        <v>12</v>
      </c>
      <c r="I22" s="1" t="s">
        <v>51</v>
      </c>
      <c r="J22">
        <v>11</v>
      </c>
      <c r="L22" s="1" t="s">
        <v>52</v>
      </c>
      <c r="M22">
        <v>3</v>
      </c>
    </row>
    <row r="23" spans="5:13" x14ac:dyDescent="0.25">
      <c r="E23" s="2" t="s">
        <v>15</v>
      </c>
      <c r="F23" s="8">
        <v>15</v>
      </c>
      <c r="G23" s="8">
        <v>441</v>
      </c>
      <c r="I23" s="2" t="s">
        <v>54</v>
      </c>
      <c r="J23">
        <v>8</v>
      </c>
      <c r="L23" s="1" t="s">
        <v>55</v>
      </c>
      <c r="M23">
        <v>3</v>
      </c>
    </row>
    <row r="24" spans="5:13" x14ac:dyDescent="0.25">
      <c r="E24" s="2" t="s">
        <v>51</v>
      </c>
      <c r="F24" s="8">
        <v>3</v>
      </c>
      <c r="G24" s="8">
        <v>62</v>
      </c>
      <c r="I24" s="2" t="s">
        <v>56</v>
      </c>
      <c r="J24">
        <v>1</v>
      </c>
      <c r="L24" s="1" t="s">
        <v>57</v>
      </c>
      <c r="M24">
        <v>2</v>
      </c>
    </row>
    <row r="25" spans="5:13" x14ac:dyDescent="0.25">
      <c r="E25" s="3" t="s">
        <v>54</v>
      </c>
      <c r="F25" s="8">
        <v>2</v>
      </c>
      <c r="G25" s="8">
        <v>2</v>
      </c>
      <c r="I25" s="2" t="s">
        <v>58</v>
      </c>
      <c r="J25">
        <v>1</v>
      </c>
      <c r="L25" s="1" t="s">
        <v>59</v>
      </c>
      <c r="M25">
        <v>2</v>
      </c>
    </row>
    <row r="26" spans="5:13" x14ac:dyDescent="0.25">
      <c r="E26" s="3" t="s">
        <v>60</v>
      </c>
      <c r="F26" s="8">
        <v>1</v>
      </c>
      <c r="G26" s="8">
        <v>60</v>
      </c>
      <c r="I26" s="2" t="s">
        <v>60</v>
      </c>
      <c r="J26">
        <v>1</v>
      </c>
      <c r="L26" s="1" t="s">
        <v>61</v>
      </c>
      <c r="M26">
        <v>2</v>
      </c>
    </row>
    <row r="27" spans="5:13" x14ac:dyDescent="0.25">
      <c r="E27" s="2" t="s">
        <v>6</v>
      </c>
      <c r="F27" s="8">
        <v>99</v>
      </c>
      <c r="G27" s="8">
        <v>99</v>
      </c>
      <c r="I27" s="1" t="s">
        <v>62</v>
      </c>
      <c r="J27">
        <v>9</v>
      </c>
      <c r="L27" s="1" t="s">
        <v>63</v>
      </c>
      <c r="M27">
        <v>2</v>
      </c>
    </row>
    <row r="28" spans="5:13" x14ac:dyDescent="0.25">
      <c r="E28" s="3" t="s">
        <v>9</v>
      </c>
      <c r="F28" s="8">
        <v>99</v>
      </c>
      <c r="G28" s="8">
        <v>99</v>
      </c>
      <c r="I28" s="2" t="s">
        <v>65</v>
      </c>
      <c r="J28">
        <v>4</v>
      </c>
      <c r="L28" s="1" t="s">
        <v>66</v>
      </c>
      <c r="M28">
        <v>2</v>
      </c>
    </row>
    <row r="29" spans="5:13" x14ac:dyDescent="0.25">
      <c r="E29" s="2" t="s">
        <v>26</v>
      </c>
      <c r="F29" s="8">
        <v>7</v>
      </c>
      <c r="G29" s="8">
        <v>54</v>
      </c>
      <c r="I29" s="2" t="s">
        <v>62</v>
      </c>
      <c r="J29">
        <v>3</v>
      </c>
      <c r="L29" s="1" t="s">
        <v>68</v>
      </c>
      <c r="M29">
        <v>2</v>
      </c>
    </row>
    <row r="30" spans="5:13" x14ac:dyDescent="0.25">
      <c r="E30" s="3" t="s">
        <v>29</v>
      </c>
      <c r="F30" s="8">
        <v>1</v>
      </c>
      <c r="G30" s="8">
        <v>1</v>
      </c>
      <c r="I30" s="2" t="s">
        <v>70</v>
      </c>
      <c r="J30">
        <v>2</v>
      </c>
      <c r="L30" s="1" t="s">
        <v>71</v>
      </c>
      <c r="M30">
        <v>2</v>
      </c>
    </row>
    <row r="31" spans="5:13" x14ac:dyDescent="0.25">
      <c r="E31" s="3" t="s">
        <v>32</v>
      </c>
      <c r="F31" s="8">
        <v>6</v>
      </c>
      <c r="G31" s="8">
        <v>53</v>
      </c>
      <c r="I31" s="1" t="s">
        <v>53</v>
      </c>
      <c r="J31">
        <v>8</v>
      </c>
      <c r="L31" s="1" t="s">
        <v>73</v>
      </c>
      <c r="M31">
        <v>2</v>
      </c>
    </row>
    <row r="32" spans="5:13" x14ac:dyDescent="0.25">
      <c r="E32" s="2" t="s">
        <v>39</v>
      </c>
      <c r="F32" s="8">
        <v>5</v>
      </c>
      <c r="G32" s="8">
        <v>91</v>
      </c>
      <c r="I32" s="2"/>
      <c r="J32">
        <v>8</v>
      </c>
      <c r="L32" s="1" t="s">
        <v>74</v>
      </c>
      <c r="M32">
        <v>2</v>
      </c>
    </row>
    <row r="33" spans="5:13" x14ac:dyDescent="0.25">
      <c r="E33" s="3" t="s">
        <v>41</v>
      </c>
      <c r="F33" s="8">
        <v>2</v>
      </c>
      <c r="G33" s="8">
        <v>29</v>
      </c>
      <c r="I33" s="1" t="s">
        <v>39</v>
      </c>
      <c r="J33">
        <v>7</v>
      </c>
      <c r="L33" s="1" t="s">
        <v>75</v>
      </c>
      <c r="M33">
        <v>2</v>
      </c>
    </row>
    <row r="34" spans="5:13" x14ac:dyDescent="0.25">
      <c r="E34" s="3" t="s">
        <v>43</v>
      </c>
      <c r="F34" s="8">
        <v>3</v>
      </c>
      <c r="G34" s="8">
        <v>62</v>
      </c>
      <c r="I34" s="2" t="s">
        <v>43</v>
      </c>
      <c r="J34">
        <v>5</v>
      </c>
      <c r="L34" s="1" t="s">
        <v>76</v>
      </c>
      <c r="M34">
        <v>2</v>
      </c>
    </row>
    <row r="35" spans="5:13" x14ac:dyDescent="0.25">
      <c r="E35" s="2" t="s">
        <v>47</v>
      </c>
      <c r="F35" s="8">
        <v>1</v>
      </c>
      <c r="G35" s="8">
        <v>281</v>
      </c>
      <c r="I35" s="2" t="s">
        <v>41</v>
      </c>
      <c r="J35">
        <v>2</v>
      </c>
      <c r="L35" s="1" t="s">
        <v>78</v>
      </c>
      <c r="M35">
        <v>1</v>
      </c>
    </row>
    <row r="36" spans="5:13" x14ac:dyDescent="0.25">
      <c r="E36" s="3" t="s">
        <v>47</v>
      </c>
      <c r="F36" s="8">
        <v>1</v>
      </c>
      <c r="G36" s="8">
        <v>281</v>
      </c>
      <c r="I36" s="1" t="s">
        <v>72</v>
      </c>
      <c r="J36">
        <v>7</v>
      </c>
      <c r="L36" s="1" t="s">
        <v>80</v>
      </c>
      <c r="M36">
        <v>1</v>
      </c>
    </row>
    <row r="37" spans="5:13" x14ac:dyDescent="0.25">
      <c r="E37" s="2" t="s">
        <v>53</v>
      </c>
      <c r="F37" s="8">
        <v>3</v>
      </c>
      <c r="G37" s="8">
        <v>1</v>
      </c>
      <c r="I37" s="2" t="s">
        <v>72</v>
      </c>
      <c r="J37">
        <v>7</v>
      </c>
      <c r="L37" s="1" t="s">
        <v>81</v>
      </c>
      <c r="M37">
        <v>1</v>
      </c>
    </row>
    <row r="38" spans="5:13" x14ac:dyDescent="0.25">
      <c r="E38" s="3"/>
      <c r="F38" s="8">
        <v>3</v>
      </c>
      <c r="G38" s="8">
        <v>1</v>
      </c>
      <c r="I38" s="1" t="s">
        <v>45</v>
      </c>
      <c r="J38">
        <v>6</v>
      </c>
      <c r="L38" s="1" t="s">
        <v>82</v>
      </c>
      <c r="M38">
        <v>1</v>
      </c>
    </row>
    <row r="39" spans="5:13" x14ac:dyDescent="0.25">
      <c r="E39" s="1" t="s">
        <v>8</v>
      </c>
      <c r="F39" s="8">
        <v>129</v>
      </c>
      <c r="G39" s="8">
        <v>2153</v>
      </c>
      <c r="I39" s="2" t="s">
        <v>45</v>
      </c>
      <c r="J39">
        <v>6</v>
      </c>
      <c r="L39" s="1" t="s">
        <v>83</v>
      </c>
      <c r="M39">
        <v>1</v>
      </c>
    </row>
    <row r="40" spans="5:13" x14ac:dyDescent="0.25">
      <c r="E40" s="2" t="s">
        <v>62</v>
      </c>
      <c r="F40" s="8">
        <v>6</v>
      </c>
      <c r="G40" s="8">
        <v>32</v>
      </c>
      <c r="I40" s="1" t="s">
        <v>49</v>
      </c>
      <c r="J40">
        <v>6</v>
      </c>
      <c r="L40" s="1" t="s">
        <v>84</v>
      </c>
      <c r="M40">
        <v>1</v>
      </c>
    </row>
    <row r="41" spans="5:13" x14ac:dyDescent="0.25">
      <c r="E41" s="3" t="s">
        <v>65</v>
      </c>
      <c r="F41" s="8">
        <v>3</v>
      </c>
      <c r="G41" s="8">
        <v>15</v>
      </c>
      <c r="I41" s="2" t="s">
        <v>49</v>
      </c>
      <c r="J41">
        <v>6</v>
      </c>
      <c r="L41" s="1" t="s">
        <v>85</v>
      </c>
      <c r="M41">
        <v>1</v>
      </c>
    </row>
    <row r="42" spans="5:13" x14ac:dyDescent="0.25">
      <c r="E42" s="3" t="s">
        <v>70</v>
      </c>
      <c r="F42" s="8">
        <v>2</v>
      </c>
      <c r="G42" s="8">
        <v>16</v>
      </c>
      <c r="I42" s="1" t="s">
        <v>64</v>
      </c>
      <c r="J42">
        <v>2</v>
      </c>
      <c r="L42" s="1" t="s">
        <v>86</v>
      </c>
      <c r="M42">
        <v>1</v>
      </c>
    </row>
    <row r="43" spans="5:13" x14ac:dyDescent="0.25">
      <c r="E43" s="3" t="s">
        <v>62</v>
      </c>
      <c r="F43" s="8">
        <v>1</v>
      </c>
      <c r="G43" s="8">
        <v>1</v>
      </c>
      <c r="I43" s="2" t="s">
        <v>69</v>
      </c>
      <c r="J43">
        <v>1</v>
      </c>
      <c r="L43" s="1" t="s">
        <v>87</v>
      </c>
      <c r="M43">
        <v>1</v>
      </c>
    </row>
    <row r="44" spans="5:13" x14ac:dyDescent="0.25">
      <c r="E44" s="2" t="s">
        <v>16</v>
      </c>
      <c r="F44" s="8">
        <v>48</v>
      </c>
      <c r="G44" s="8">
        <v>1053</v>
      </c>
      <c r="I44" s="2" t="s">
        <v>67</v>
      </c>
      <c r="J44">
        <v>1</v>
      </c>
      <c r="L44" s="1" t="s">
        <v>88</v>
      </c>
      <c r="M44">
        <v>1</v>
      </c>
    </row>
    <row r="45" spans="5:13" x14ac:dyDescent="0.25">
      <c r="E45" s="3" t="s">
        <v>20</v>
      </c>
      <c r="F45" s="8">
        <v>32</v>
      </c>
      <c r="G45" s="8">
        <v>648</v>
      </c>
      <c r="I45" s="1" t="s">
        <v>77</v>
      </c>
      <c r="J45">
        <v>1</v>
      </c>
      <c r="L45" s="1" t="s">
        <v>89</v>
      </c>
      <c r="M45">
        <v>1</v>
      </c>
    </row>
    <row r="46" spans="5:13" x14ac:dyDescent="0.25">
      <c r="E46" s="3" t="s">
        <v>24</v>
      </c>
      <c r="F46" s="8">
        <v>16</v>
      </c>
      <c r="G46" s="8">
        <v>405</v>
      </c>
      <c r="I46" s="2" t="s">
        <v>79</v>
      </c>
      <c r="J46">
        <v>1</v>
      </c>
      <c r="L46" s="1" t="s">
        <v>90</v>
      </c>
      <c r="M46">
        <v>1</v>
      </c>
    </row>
    <row r="47" spans="5:13" x14ac:dyDescent="0.25">
      <c r="E47" s="2" t="s">
        <v>104</v>
      </c>
      <c r="F47" s="8">
        <v>1</v>
      </c>
      <c r="G47" s="8">
        <v>2</v>
      </c>
      <c r="I47" s="1" t="s">
        <v>91</v>
      </c>
      <c r="J47">
        <v>1</v>
      </c>
      <c r="L47" s="1" t="s">
        <v>92</v>
      </c>
      <c r="M47">
        <v>1</v>
      </c>
    </row>
    <row r="48" spans="5:13" x14ac:dyDescent="0.25">
      <c r="E48" s="3" t="s">
        <v>104</v>
      </c>
      <c r="F48" s="8">
        <v>1</v>
      </c>
      <c r="G48" s="8">
        <v>2</v>
      </c>
      <c r="I48" s="2" t="s">
        <v>93</v>
      </c>
      <c r="J48">
        <v>1</v>
      </c>
      <c r="L48" s="1" t="s">
        <v>94</v>
      </c>
      <c r="M48">
        <v>1</v>
      </c>
    </row>
    <row r="49" spans="5:13" x14ac:dyDescent="0.25">
      <c r="E49" s="2" t="s">
        <v>101</v>
      </c>
      <c r="F49" s="8">
        <v>1</v>
      </c>
      <c r="G49" s="8">
        <v>1</v>
      </c>
      <c r="I49" s="1" t="s">
        <v>95</v>
      </c>
      <c r="J49">
        <v>1</v>
      </c>
      <c r="L49" s="1" t="s">
        <v>96</v>
      </c>
      <c r="M49">
        <v>1</v>
      </c>
    </row>
    <row r="50" spans="5:13" x14ac:dyDescent="0.25">
      <c r="E50" s="3" t="s">
        <v>101</v>
      </c>
      <c r="F50" s="8">
        <v>1</v>
      </c>
      <c r="G50" s="8">
        <v>1</v>
      </c>
      <c r="I50" s="2" t="s">
        <v>12</v>
      </c>
      <c r="J50">
        <v>1</v>
      </c>
      <c r="L50" s="1" t="s">
        <v>97</v>
      </c>
      <c r="M50">
        <v>1</v>
      </c>
    </row>
    <row r="51" spans="5:13" x14ac:dyDescent="0.25">
      <c r="E51" s="2" t="s">
        <v>27</v>
      </c>
      <c r="F51" s="8">
        <v>23</v>
      </c>
      <c r="G51" s="8">
        <v>122</v>
      </c>
      <c r="I51" s="1" t="s">
        <v>98</v>
      </c>
      <c r="J51">
        <v>1</v>
      </c>
      <c r="L51" s="1" t="s">
        <v>99</v>
      </c>
      <c r="M51">
        <v>1</v>
      </c>
    </row>
    <row r="52" spans="5:13" x14ac:dyDescent="0.25">
      <c r="E52" s="3" t="s">
        <v>30</v>
      </c>
      <c r="F52" s="8">
        <v>15</v>
      </c>
      <c r="G52" s="8">
        <v>36</v>
      </c>
      <c r="I52" s="2" t="s">
        <v>33</v>
      </c>
      <c r="J52">
        <v>1</v>
      </c>
      <c r="L52" s="1" t="s">
        <v>100</v>
      </c>
      <c r="M52">
        <v>1</v>
      </c>
    </row>
    <row r="53" spans="5:13" x14ac:dyDescent="0.25">
      <c r="E53" s="3" t="s">
        <v>33</v>
      </c>
      <c r="F53" s="8">
        <v>4</v>
      </c>
      <c r="G53" s="8">
        <v>53</v>
      </c>
      <c r="I53" s="1" t="s">
        <v>101</v>
      </c>
      <c r="J53">
        <v>1</v>
      </c>
      <c r="L53" s="1" t="s">
        <v>102</v>
      </c>
      <c r="M53">
        <v>1</v>
      </c>
    </row>
    <row r="54" spans="5:13" x14ac:dyDescent="0.25">
      <c r="E54" s="3" t="s">
        <v>35</v>
      </c>
      <c r="F54" s="8">
        <v>4</v>
      </c>
      <c r="G54" s="8">
        <v>33</v>
      </c>
      <c r="I54" s="2" t="s">
        <v>101</v>
      </c>
      <c r="J54">
        <v>1</v>
      </c>
      <c r="L54" s="1" t="s">
        <v>103</v>
      </c>
      <c r="M54">
        <v>1</v>
      </c>
    </row>
    <row r="55" spans="5:13" x14ac:dyDescent="0.25">
      <c r="E55" s="2" t="s">
        <v>49</v>
      </c>
      <c r="F55" s="8">
        <v>3</v>
      </c>
      <c r="G55" s="8">
        <v>6</v>
      </c>
      <c r="I55" s="1" t="s">
        <v>104</v>
      </c>
      <c r="J55">
        <v>1</v>
      </c>
      <c r="L55" s="1" t="s">
        <v>105</v>
      </c>
      <c r="M55">
        <v>1</v>
      </c>
    </row>
    <row r="56" spans="5:13" x14ac:dyDescent="0.25">
      <c r="E56" s="3" t="s">
        <v>49</v>
      </c>
      <c r="F56" s="8">
        <v>3</v>
      </c>
      <c r="G56" s="8">
        <v>6</v>
      </c>
      <c r="I56" s="2" t="s">
        <v>104</v>
      </c>
      <c r="J56">
        <v>1</v>
      </c>
      <c r="L56" s="1" t="s">
        <v>106</v>
      </c>
      <c r="M56">
        <v>1</v>
      </c>
    </row>
    <row r="57" spans="5:13" x14ac:dyDescent="0.25">
      <c r="E57" s="2" t="s">
        <v>72</v>
      </c>
      <c r="F57" s="8">
        <v>5</v>
      </c>
      <c r="G57" s="8">
        <v>16</v>
      </c>
      <c r="I57" s="1" t="s">
        <v>22</v>
      </c>
      <c r="J57">
        <v>315</v>
      </c>
      <c r="L57" s="1" t="s">
        <v>107</v>
      </c>
      <c r="M57">
        <v>1</v>
      </c>
    </row>
    <row r="58" spans="5:13" x14ac:dyDescent="0.25">
      <c r="E58" s="3" t="s">
        <v>72</v>
      </c>
      <c r="F58" s="8">
        <v>5</v>
      </c>
      <c r="G58" s="8">
        <v>16</v>
      </c>
      <c r="L58" s="1" t="s">
        <v>108</v>
      </c>
      <c r="M58">
        <v>1</v>
      </c>
    </row>
    <row r="59" spans="5:13" x14ac:dyDescent="0.25">
      <c r="E59" s="2" t="s">
        <v>51</v>
      </c>
      <c r="F59" s="8">
        <v>4</v>
      </c>
      <c r="G59" s="8">
        <v>56</v>
      </c>
      <c r="L59" s="1" t="s">
        <v>109</v>
      </c>
      <c r="M59">
        <v>1</v>
      </c>
    </row>
    <row r="60" spans="5:13" x14ac:dyDescent="0.25">
      <c r="E60" s="3" t="s">
        <v>54</v>
      </c>
      <c r="F60" s="8">
        <v>3</v>
      </c>
      <c r="G60" s="8">
        <v>6</v>
      </c>
      <c r="L60" s="1" t="s">
        <v>110</v>
      </c>
      <c r="M60">
        <v>1</v>
      </c>
    </row>
    <row r="61" spans="5:13" x14ac:dyDescent="0.25">
      <c r="E61" s="3" t="s">
        <v>58</v>
      </c>
      <c r="F61" s="8">
        <v>1</v>
      </c>
      <c r="G61" s="8">
        <v>50</v>
      </c>
      <c r="L61" s="1" t="s">
        <v>111</v>
      </c>
      <c r="M61">
        <v>1</v>
      </c>
    </row>
    <row r="62" spans="5:13" x14ac:dyDescent="0.25">
      <c r="E62" s="2" t="s">
        <v>6</v>
      </c>
      <c r="F62" s="8">
        <v>12</v>
      </c>
      <c r="G62" s="8">
        <v>241</v>
      </c>
      <c r="L62" s="1" t="s">
        <v>112</v>
      </c>
      <c r="M62">
        <v>1</v>
      </c>
    </row>
    <row r="63" spans="5:13" x14ac:dyDescent="0.25">
      <c r="E63" s="3" t="s">
        <v>12</v>
      </c>
      <c r="F63" s="8">
        <v>4</v>
      </c>
      <c r="G63" s="8">
        <v>80</v>
      </c>
      <c r="L63" s="1" t="s">
        <v>113</v>
      </c>
      <c r="M63">
        <v>1</v>
      </c>
    </row>
    <row r="64" spans="5:13" x14ac:dyDescent="0.25">
      <c r="E64" s="3" t="s">
        <v>9</v>
      </c>
      <c r="F64" s="8">
        <v>8</v>
      </c>
      <c r="G64" s="8">
        <v>161</v>
      </c>
      <c r="L64" s="1" t="s">
        <v>114</v>
      </c>
      <c r="M64">
        <v>1</v>
      </c>
    </row>
    <row r="65" spans="5:13" x14ac:dyDescent="0.25">
      <c r="E65" s="2" t="s">
        <v>26</v>
      </c>
      <c r="F65" s="8">
        <v>8</v>
      </c>
      <c r="G65" s="8">
        <v>36</v>
      </c>
      <c r="L65" s="1" t="s">
        <v>115</v>
      </c>
      <c r="M65">
        <v>1</v>
      </c>
    </row>
    <row r="66" spans="5:13" x14ac:dyDescent="0.25">
      <c r="E66" s="3" t="s">
        <v>29</v>
      </c>
      <c r="F66" s="8">
        <v>1</v>
      </c>
      <c r="G66" s="8">
        <v>2</v>
      </c>
      <c r="L66" s="1" t="s">
        <v>116</v>
      </c>
      <c r="M66">
        <v>1</v>
      </c>
    </row>
    <row r="67" spans="5:13" x14ac:dyDescent="0.25">
      <c r="E67" s="3" t="s">
        <v>32</v>
      </c>
      <c r="F67" s="8">
        <v>7</v>
      </c>
      <c r="G67" s="8">
        <v>34</v>
      </c>
      <c r="L67" s="1" t="s">
        <v>117</v>
      </c>
      <c r="M67">
        <v>1</v>
      </c>
    </row>
    <row r="68" spans="5:13" x14ac:dyDescent="0.25">
      <c r="E68" s="2" t="s">
        <v>39</v>
      </c>
      <c r="F68" s="8">
        <v>2</v>
      </c>
      <c r="G68" s="8">
        <v>42</v>
      </c>
      <c r="L68" s="1" t="s">
        <v>118</v>
      </c>
      <c r="M68">
        <v>1</v>
      </c>
    </row>
    <row r="69" spans="5:13" x14ac:dyDescent="0.25">
      <c r="E69" s="3" t="s">
        <v>43</v>
      </c>
      <c r="F69" s="8">
        <v>2</v>
      </c>
      <c r="G69" s="8">
        <v>42</v>
      </c>
      <c r="L69" s="1" t="s">
        <v>119</v>
      </c>
      <c r="M69">
        <v>1</v>
      </c>
    </row>
    <row r="70" spans="5:13" x14ac:dyDescent="0.25">
      <c r="E70" s="2" t="s">
        <v>47</v>
      </c>
      <c r="F70" s="8">
        <v>11</v>
      </c>
      <c r="G70" s="8">
        <v>542</v>
      </c>
      <c r="L70" s="1" t="s">
        <v>120</v>
      </c>
      <c r="M70">
        <v>1</v>
      </c>
    </row>
    <row r="71" spans="5:13" x14ac:dyDescent="0.25">
      <c r="E71" s="3" t="s">
        <v>47</v>
      </c>
      <c r="F71" s="8">
        <v>11</v>
      </c>
      <c r="G71" s="8">
        <v>542</v>
      </c>
      <c r="L71" s="1" t="s">
        <v>121</v>
      </c>
      <c r="M71">
        <v>1</v>
      </c>
    </row>
    <row r="72" spans="5:13" x14ac:dyDescent="0.25">
      <c r="E72" s="2" t="s">
        <v>95</v>
      </c>
      <c r="F72" s="8">
        <v>1</v>
      </c>
      <c r="G72" s="8">
        <v>2</v>
      </c>
      <c r="L72" s="1" t="s">
        <v>122</v>
      </c>
      <c r="M72">
        <v>1</v>
      </c>
    </row>
    <row r="73" spans="5:13" x14ac:dyDescent="0.25">
      <c r="E73" s="3" t="s">
        <v>12</v>
      </c>
      <c r="F73" s="8">
        <v>1</v>
      </c>
      <c r="G73" s="8">
        <v>2</v>
      </c>
      <c r="L73" s="1" t="s">
        <v>123</v>
      </c>
      <c r="M73">
        <v>1</v>
      </c>
    </row>
    <row r="74" spans="5:13" x14ac:dyDescent="0.25">
      <c r="E74" s="2" t="s">
        <v>53</v>
      </c>
      <c r="F74" s="8">
        <v>4</v>
      </c>
      <c r="G74" s="8">
        <v>2</v>
      </c>
      <c r="L74" s="1" t="s">
        <v>124</v>
      </c>
      <c r="M74">
        <v>1</v>
      </c>
    </row>
    <row r="75" spans="5:13" x14ac:dyDescent="0.25">
      <c r="E75" s="3"/>
      <c r="F75" s="8">
        <v>4</v>
      </c>
      <c r="G75" s="8">
        <v>2</v>
      </c>
      <c r="L75" s="1" t="s">
        <v>125</v>
      </c>
      <c r="M75">
        <v>1</v>
      </c>
    </row>
    <row r="76" spans="5:13" x14ac:dyDescent="0.25">
      <c r="E76" s="1" t="s">
        <v>11</v>
      </c>
      <c r="F76" s="8">
        <v>19</v>
      </c>
      <c r="G76" s="8">
        <v>443</v>
      </c>
      <c r="L76" s="1" t="s">
        <v>126</v>
      </c>
      <c r="M76">
        <v>1</v>
      </c>
    </row>
    <row r="77" spans="5:13" x14ac:dyDescent="0.25">
      <c r="E77" s="2" t="s">
        <v>62</v>
      </c>
      <c r="F77" s="8">
        <v>2</v>
      </c>
      <c r="G77" s="8">
        <v>24</v>
      </c>
      <c r="L77" s="1" t="s">
        <v>22</v>
      </c>
      <c r="M77">
        <v>315</v>
      </c>
    </row>
    <row r="78" spans="5:13" x14ac:dyDescent="0.25">
      <c r="E78" s="3" t="s">
        <v>65</v>
      </c>
      <c r="F78" s="8">
        <v>1</v>
      </c>
      <c r="G78" s="8">
        <v>20</v>
      </c>
    </row>
    <row r="79" spans="5:13" x14ac:dyDescent="0.25">
      <c r="E79" s="3" t="s">
        <v>62</v>
      </c>
      <c r="F79" s="8">
        <v>1</v>
      </c>
      <c r="G79" s="8">
        <v>4</v>
      </c>
    </row>
    <row r="80" spans="5:13" x14ac:dyDescent="0.25">
      <c r="E80" s="2" t="s">
        <v>27</v>
      </c>
      <c r="F80" s="8">
        <v>3</v>
      </c>
      <c r="G80" s="8">
        <v>5</v>
      </c>
    </row>
    <row r="81" spans="5:7" x14ac:dyDescent="0.25">
      <c r="E81" s="3" t="s">
        <v>30</v>
      </c>
      <c r="F81" s="8">
        <v>1</v>
      </c>
      <c r="G81" s="8">
        <v>2</v>
      </c>
    </row>
    <row r="82" spans="5:7" x14ac:dyDescent="0.25">
      <c r="E82" s="3" t="s">
        <v>33</v>
      </c>
      <c r="F82" s="8">
        <v>2</v>
      </c>
      <c r="G82" s="8">
        <v>3</v>
      </c>
    </row>
    <row r="83" spans="5:7" x14ac:dyDescent="0.25">
      <c r="E83" s="2" t="s">
        <v>98</v>
      </c>
      <c r="F83" s="8">
        <v>1</v>
      </c>
      <c r="G83" s="8">
        <v>1</v>
      </c>
    </row>
    <row r="84" spans="5:7" x14ac:dyDescent="0.25">
      <c r="E84" s="3" t="s">
        <v>33</v>
      </c>
      <c r="F84" s="8">
        <v>1</v>
      </c>
      <c r="G84" s="8">
        <v>1</v>
      </c>
    </row>
    <row r="85" spans="5:7" x14ac:dyDescent="0.25">
      <c r="E85" s="2" t="s">
        <v>51</v>
      </c>
      <c r="F85" s="8">
        <v>2</v>
      </c>
      <c r="G85" s="8">
        <v>4</v>
      </c>
    </row>
    <row r="86" spans="5:7" x14ac:dyDescent="0.25">
      <c r="E86" s="3" t="s">
        <v>56</v>
      </c>
      <c r="F86" s="8">
        <v>1</v>
      </c>
      <c r="G86" s="8">
        <v>1</v>
      </c>
    </row>
    <row r="87" spans="5:7" x14ac:dyDescent="0.25">
      <c r="E87" s="3" t="s">
        <v>54</v>
      </c>
      <c r="F87" s="8">
        <v>1</v>
      </c>
      <c r="G87" s="8">
        <v>3</v>
      </c>
    </row>
    <row r="88" spans="5:7" x14ac:dyDescent="0.25">
      <c r="E88" s="2" t="s">
        <v>6</v>
      </c>
      <c r="F88" s="8">
        <v>2</v>
      </c>
      <c r="G88" s="8">
        <v>24</v>
      </c>
    </row>
    <row r="89" spans="5:7" x14ac:dyDescent="0.25">
      <c r="E89" s="3" t="s">
        <v>9</v>
      </c>
      <c r="F89" s="8">
        <v>2</v>
      </c>
      <c r="G89" s="8">
        <v>24</v>
      </c>
    </row>
    <row r="90" spans="5:7" x14ac:dyDescent="0.25">
      <c r="E90" s="2" t="s">
        <v>26</v>
      </c>
      <c r="F90" s="8">
        <v>7</v>
      </c>
      <c r="G90" s="8">
        <v>384</v>
      </c>
    </row>
    <row r="91" spans="5:7" x14ac:dyDescent="0.25">
      <c r="E91" s="3" t="s">
        <v>29</v>
      </c>
      <c r="F91" s="8">
        <v>3</v>
      </c>
      <c r="G91" s="8">
        <v>363</v>
      </c>
    </row>
    <row r="92" spans="5:7" x14ac:dyDescent="0.25">
      <c r="E92" s="3" t="s">
        <v>32</v>
      </c>
      <c r="F92" s="8">
        <v>4</v>
      </c>
      <c r="G92" s="8">
        <v>21</v>
      </c>
    </row>
    <row r="93" spans="5:7" x14ac:dyDescent="0.25">
      <c r="E93" s="2" t="s">
        <v>91</v>
      </c>
      <c r="F93" s="8">
        <v>1</v>
      </c>
      <c r="G93" s="8">
        <v>1</v>
      </c>
    </row>
    <row r="94" spans="5:7" x14ac:dyDescent="0.25">
      <c r="E94" s="3" t="s">
        <v>93</v>
      </c>
      <c r="F94" s="8">
        <v>1</v>
      </c>
      <c r="G94" s="8">
        <v>1</v>
      </c>
    </row>
    <row r="95" spans="5:7" x14ac:dyDescent="0.25">
      <c r="E95" s="2" t="s">
        <v>53</v>
      </c>
      <c r="F95" s="8">
        <v>1</v>
      </c>
      <c r="G95" s="8"/>
    </row>
    <row r="96" spans="5:7" x14ac:dyDescent="0.25">
      <c r="E96" s="3"/>
      <c r="F96" s="8">
        <v>1</v>
      </c>
      <c r="G96" s="8"/>
    </row>
    <row r="97" spans="5:7" x14ac:dyDescent="0.25">
      <c r="E97" s="1" t="s">
        <v>14</v>
      </c>
      <c r="F97" s="8">
        <v>8</v>
      </c>
      <c r="G97" s="8">
        <v>25755</v>
      </c>
    </row>
    <row r="98" spans="5:7" x14ac:dyDescent="0.25">
      <c r="E98" s="2" t="s">
        <v>16</v>
      </c>
      <c r="F98" s="8">
        <v>1</v>
      </c>
      <c r="G98" s="8">
        <v>25673</v>
      </c>
    </row>
    <row r="99" spans="5:7" x14ac:dyDescent="0.25">
      <c r="E99" s="3" t="s">
        <v>20</v>
      </c>
      <c r="F99" s="8">
        <v>1</v>
      </c>
      <c r="G99" s="8">
        <v>25673</v>
      </c>
    </row>
    <row r="100" spans="5:7" x14ac:dyDescent="0.25">
      <c r="E100" s="2" t="s">
        <v>6</v>
      </c>
      <c r="F100" s="8">
        <v>5</v>
      </c>
      <c r="G100" s="8">
        <v>56</v>
      </c>
    </row>
    <row r="101" spans="5:7" x14ac:dyDescent="0.25">
      <c r="E101" s="3" t="s">
        <v>9</v>
      </c>
      <c r="F101" s="8">
        <v>5</v>
      </c>
      <c r="G101" s="8">
        <v>56</v>
      </c>
    </row>
    <row r="102" spans="5:7" x14ac:dyDescent="0.25">
      <c r="E102" s="2" t="s">
        <v>26</v>
      </c>
      <c r="F102" s="8">
        <v>2</v>
      </c>
      <c r="G102" s="8">
        <v>26</v>
      </c>
    </row>
    <row r="103" spans="5:7" x14ac:dyDescent="0.25">
      <c r="E103" s="3" t="s">
        <v>32</v>
      </c>
      <c r="F103" s="8">
        <v>2</v>
      </c>
      <c r="G103" s="8">
        <v>26</v>
      </c>
    </row>
    <row r="104" spans="5:7" x14ac:dyDescent="0.25">
      <c r="E104" s="1" t="s">
        <v>18</v>
      </c>
      <c r="F104" s="8">
        <v>5</v>
      </c>
      <c r="G104" s="8">
        <v>43</v>
      </c>
    </row>
    <row r="105" spans="5:7" x14ac:dyDescent="0.25">
      <c r="E105" s="2" t="s">
        <v>45</v>
      </c>
      <c r="F105" s="8">
        <v>1</v>
      </c>
      <c r="G105" s="8">
        <v>1</v>
      </c>
    </row>
    <row r="106" spans="5:7" x14ac:dyDescent="0.25">
      <c r="E106" s="3" t="s">
        <v>45</v>
      </c>
      <c r="F106" s="8">
        <v>1</v>
      </c>
      <c r="G106" s="8">
        <v>1</v>
      </c>
    </row>
    <row r="107" spans="5:7" x14ac:dyDescent="0.25">
      <c r="E107" s="2" t="s">
        <v>27</v>
      </c>
      <c r="F107" s="8">
        <v>2</v>
      </c>
      <c r="G107" s="8">
        <v>2</v>
      </c>
    </row>
    <row r="108" spans="5:7" x14ac:dyDescent="0.25">
      <c r="E108" s="3" t="s">
        <v>30</v>
      </c>
      <c r="F108" s="8">
        <v>2</v>
      </c>
      <c r="G108" s="8">
        <v>2</v>
      </c>
    </row>
    <row r="109" spans="5:7" x14ac:dyDescent="0.25">
      <c r="E109" s="2" t="s">
        <v>51</v>
      </c>
      <c r="F109" s="8">
        <v>2</v>
      </c>
      <c r="G109" s="8">
        <v>40</v>
      </c>
    </row>
    <row r="110" spans="5:7" x14ac:dyDescent="0.25">
      <c r="E110" s="3" t="s">
        <v>54</v>
      </c>
      <c r="F110" s="8">
        <v>2</v>
      </c>
      <c r="G110" s="8">
        <v>40</v>
      </c>
    </row>
    <row r="111" spans="5:7" x14ac:dyDescent="0.25">
      <c r="E111" s="1" t="s">
        <v>22</v>
      </c>
      <c r="F111" s="8">
        <v>315</v>
      </c>
      <c r="G111" s="8">
        <v>30653</v>
      </c>
    </row>
  </sheetData>
  <pageMargins left="0.7" right="0.7" top="0.75" bottom="0.75" header="0.3" footer="0.3"/>
</worksheet>
</file>

<file path=docMetadata/LabelInfo.xml><?xml version="1.0" encoding="utf-8"?>
<clbl:labelList xmlns:clbl="http://schemas.microsoft.com/office/2020/mipLabelMetadata">
  <clbl:label id="{30b8b26a-d30f-42b3-866b-5ac63fddd39b}" enabled="0" method="" siteId="{30b8b26a-d30f-42b3-866b-5ac63fddd39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Detail2</vt:lpstr>
      <vt:lpstr>Chart Res Mech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Solorzano, Gilberto</dc:creator>
  <cp:lastModifiedBy>Solorzano, Gilberto</cp:lastModifiedBy>
  <dcterms:created xsi:type="dcterms:W3CDTF">2026-03-05T18:06:44Z</dcterms:created>
  <dcterms:modified xsi:type="dcterms:W3CDTF">2026-03-06T00:09:03Z</dcterms:modified>
</cp:coreProperties>
</file>